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<sst xmlns="http://schemas.openxmlformats.org/spreadsheetml/2006/main" count="31" uniqueCount="31">
  <si>
    <t>EDGE Industrial</t>
  </si>
  <si>
    <t>Project´s name</t>
  </si>
  <si>
    <t>AREAS BREAKDOWN</t>
  </si>
  <si>
    <t>Level</t>
  </si>
  <si>
    <t>Receiving Shipping</t>
  </si>
  <si>
    <t>Office spaces</t>
  </si>
  <si>
    <t>Data Center</t>
  </si>
  <si>
    <t>Inventory Control</t>
  </si>
  <si>
    <t>Packaging</t>
  </si>
  <si>
    <t>Storage</t>
  </si>
  <si>
    <t>Frozen Storage</t>
  </si>
  <si>
    <t>Cold storage</t>
  </si>
  <si>
    <t>Fruits and Vegetables storage</t>
  </si>
  <si>
    <t>Kitchenette</t>
  </si>
  <si>
    <t>Restrooms</t>
  </si>
  <si>
    <t>Mechanichal and Electrical Rooms</t>
  </si>
  <si>
    <t>Externa Car Parking</t>
  </si>
  <si>
    <t>Car Parking</t>
  </si>
  <si>
    <t>TOTAL INTERNAL AREA</t>
  </si>
  <si>
    <t>S1</t>
  </si>
  <si>
    <t>PB</t>
  </si>
  <si>
    <t>N1</t>
  </si>
  <si>
    <t>N2</t>
  </si>
  <si>
    <t>N3</t>
  </si>
  <si>
    <t>N4</t>
  </si>
  <si>
    <t>TOTAL</t>
  </si>
  <si>
    <t>AREAS SUMMARY</t>
  </si>
  <si>
    <t>Total Internal Area</t>
  </si>
  <si>
    <t>Irrigated area</t>
  </si>
  <si>
    <t>Area with exterior lighting</t>
  </si>
  <si>
    <t xml:space="preserve">Aggregate Roof Area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</si>
</sst>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5.0"/>
      <color rgb="FF1C4587"/>
      <name val="Arial"/>
    </font>
    <font>
      <b/>
      <sz val="12.0"/>
      <color rgb="FF1C4587"/>
      <name val="Arial"/>
    </font>
    <font>
      <b/>
      <sz val="13.0"/>
      <color rgb="FFF5F5F5"/>
      <name val="Arial"/>
    </font>
    <font/>
    <font>
      <b/>
      <sz val="11.0"/>
      <color rgb="FFFFFFFF"/>
      <name val="Arial"/>
    </font>
    <font>
      <b/>
      <color rgb="FFFFFF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BDA416"/>
        <bgColor rgb="FFBDA416"/>
      </patternFill>
    </fill>
    <fill>
      <patternFill patternType="solid">
        <fgColor rgb="FFD7C97C"/>
        <bgColor rgb="FFD7C97C"/>
      </patternFill>
    </fill>
    <fill>
      <patternFill patternType="solid">
        <fgColor rgb="FFCB614B"/>
        <bgColor rgb="FFCB614B"/>
      </patternFill>
    </fill>
    <fill>
      <patternFill patternType="solid">
        <fgColor rgb="FFFB8B74"/>
        <bgColor rgb="FFFB8B74"/>
      </patternFill>
    </fill>
    <fill>
      <patternFill patternType="solid">
        <fgColor rgb="FFFBB678"/>
        <bgColor rgb="FFFBB678"/>
      </patternFill>
    </fill>
    <fill>
      <patternFill patternType="solid">
        <fgColor rgb="FF999999"/>
        <bgColor rgb="FF999999"/>
      </patternFill>
    </fill>
    <fill>
      <patternFill patternType="solid">
        <fgColor rgb="FF30800A"/>
        <bgColor rgb="FF30800A"/>
      </patternFill>
    </fill>
    <fill>
      <patternFill patternType="solid">
        <fgColor rgb="FFDEA5EF"/>
        <bgColor rgb="FFDEA5EF"/>
      </patternFill>
    </fill>
    <fill>
      <patternFill patternType="solid">
        <fgColor rgb="FF9325B4"/>
        <bgColor rgb="FF9325B4"/>
      </patternFill>
    </fill>
    <fill>
      <patternFill patternType="solid">
        <fgColor rgb="FF004B8D"/>
        <bgColor rgb="FF004B8D"/>
      </patternFill>
    </fill>
    <fill>
      <patternFill patternType="solid">
        <fgColor rgb="FF5E88C7"/>
        <bgColor rgb="FF5E88C7"/>
      </patternFill>
    </fill>
    <fill>
      <patternFill patternType="solid">
        <fgColor rgb="FFA5C6DF"/>
        <bgColor rgb="FFA5C6DF"/>
      </patternFill>
    </fill>
    <fill>
      <patternFill patternType="solid">
        <fgColor rgb="FFD9D9D9"/>
        <bgColor rgb="FFD9D9D9"/>
      </patternFill>
    </fill>
    <fill>
      <patternFill patternType="solid">
        <fgColor rgb="FF87C869"/>
        <bgColor rgb="FF87C869"/>
      </patternFill>
    </fill>
    <fill>
      <patternFill patternType="solid">
        <fgColor rgb="FF6CAEDF"/>
        <bgColor rgb="FF6CAEDF"/>
      </patternFill>
    </fill>
  </fills>
  <borders count="7">
    <border/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5" fillId="4" fontId="6" numFmtId="0" xfId="0" applyAlignment="1" applyBorder="1" applyFill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readingOrder="0" shrinkToFit="0" vertical="center" wrapText="1"/>
    </xf>
    <xf borderId="5" fillId="6" fontId="6" numFmtId="0" xfId="0" applyAlignment="1" applyBorder="1" applyFill="1" applyFont="1">
      <alignment horizontal="center" readingOrder="0" shrinkToFit="0" vertical="center" wrapText="1"/>
    </xf>
    <xf borderId="5" fillId="7" fontId="6" numFmtId="0" xfId="0" applyAlignment="1" applyBorder="1" applyFill="1" applyFont="1">
      <alignment horizontal="center" readingOrder="0" shrinkToFit="0" vertical="center" wrapText="1"/>
    </xf>
    <xf borderId="5" fillId="8" fontId="6" numFmtId="0" xfId="0" applyAlignment="1" applyBorder="1" applyFill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 shrinkToFit="0" vertical="center" wrapText="1"/>
    </xf>
    <xf borderId="5" fillId="9" fontId="6" numFmtId="0" xfId="0" applyAlignment="1" applyBorder="1" applyFill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5" fillId="10" fontId="6" numFmtId="0" xfId="0" applyAlignment="1" applyBorder="1" applyFill="1" applyFont="1">
      <alignment horizontal="center" readingOrder="0" shrinkToFit="0" vertical="center" wrapText="1"/>
    </xf>
    <xf borderId="5" fillId="11" fontId="6" numFmtId="0" xfId="0" applyAlignment="1" applyBorder="1" applyFill="1" applyFont="1">
      <alignment horizontal="center" readingOrder="0" shrinkToFit="0" vertical="center" wrapText="1"/>
    </xf>
    <xf borderId="5" fillId="12" fontId="6" numFmtId="0" xfId="0" applyAlignment="1" applyBorder="1" applyFill="1" applyFont="1">
      <alignment horizontal="center" readingOrder="0" shrinkToFit="0" vertical="center" wrapText="1"/>
    </xf>
    <xf borderId="5" fillId="13" fontId="6" numFmtId="0" xfId="0" applyAlignment="1" applyBorder="1" applyFill="1" applyFont="1">
      <alignment horizontal="center" readingOrder="0" shrinkToFit="0" vertical="center" wrapText="1"/>
    </xf>
    <xf borderId="5" fillId="14" fontId="6" numFmtId="0" xfId="0" applyAlignment="1" applyBorder="1" applyFill="1" applyFont="1">
      <alignment horizontal="center" readingOrder="0" shrinkToFit="0" vertical="center" wrapText="1"/>
    </xf>
    <xf borderId="5" fillId="15" fontId="6" numFmtId="0" xfId="0" applyAlignment="1" applyBorder="1" applyFill="1" applyFont="1">
      <alignment horizontal="center" readingOrder="0" shrinkToFit="0" vertical="center" wrapText="1"/>
    </xf>
    <xf borderId="5" fillId="16" fontId="1" numFmtId="0" xfId="0" applyAlignment="1" applyBorder="1" applyFill="1" applyFont="1">
      <alignment horizontal="center" shrinkToFit="0" wrapText="1"/>
    </xf>
    <xf borderId="5" fillId="0" fontId="1" numFmtId="2" xfId="0" applyAlignment="1" applyBorder="1" applyFont="1" applyNumberFormat="1">
      <alignment horizontal="center" vertical="bottom"/>
    </xf>
    <xf borderId="5" fillId="16" fontId="1" numFmtId="2" xfId="0" applyAlignment="1" applyBorder="1" applyFont="1" applyNumberFormat="1">
      <alignment horizontal="center" vertical="bottom"/>
    </xf>
    <xf borderId="5" fillId="16" fontId="1" numFmtId="4" xfId="0" applyAlignment="1" applyBorder="1" applyFont="1" applyNumberFormat="1">
      <alignment horizontal="center" vertical="bottom"/>
    </xf>
    <xf borderId="5" fillId="9" fontId="7" numFmtId="0" xfId="0" applyAlignment="1" applyBorder="1" applyFont="1">
      <alignment horizontal="center" vertical="bottom"/>
    </xf>
    <xf borderId="5" fillId="9" fontId="7" numFmtId="2" xfId="0" applyAlignment="1" applyBorder="1" applyFont="1" applyNumberFormat="1">
      <alignment horizontal="center" vertical="bottom"/>
    </xf>
    <xf borderId="1" fillId="2" fontId="4" numFmtId="0" xfId="0" applyAlignment="1" applyBorder="1" applyFont="1">
      <alignment horizontal="center" vertical="bottom"/>
    </xf>
    <xf borderId="5" fillId="10" fontId="6" numFmtId="0" xfId="0" applyAlignment="1" applyBorder="1" applyFont="1">
      <alignment horizontal="center" shrinkToFit="0" vertical="center" wrapText="1"/>
    </xf>
    <xf borderId="5" fillId="17" fontId="6" numFmtId="0" xfId="0" applyAlignment="1" applyBorder="1" applyFill="1" applyFont="1">
      <alignment horizontal="center" shrinkToFit="0" vertical="center" wrapText="1"/>
    </xf>
    <xf borderId="5" fillId="18" fontId="6" numFmtId="0" xfId="0" applyAlignment="1" applyBorder="1" applyFill="1" applyFont="1">
      <alignment horizontal="center" readingOrder="0" shrinkToFit="0" vertical="center" wrapText="1"/>
    </xf>
    <xf borderId="5" fillId="0" fontId="1" numFmtId="2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382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6" width="15.75"/>
    <col customWidth="1" min="17" max="17" width="17.0"/>
  </cols>
  <sheetData>
    <row r="1" ht="20.25" customHeight="1">
      <c r="A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0.25" customHeight="1">
      <c r="E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ht="20.25" customHeight="1">
      <c r="E3" s="3" t="s">
        <v>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ht="6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R4" s="1"/>
      <c r="S4" s="1"/>
      <c r="T4" s="1"/>
    </row>
    <row r="5">
      <c r="A5" s="4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</row>
    <row r="6">
      <c r="A6" s="7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  <c r="I6" s="8" t="s">
        <v>11</v>
      </c>
      <c r="J6" s="8" t="s">
        <v>12</v>
      </c>
      <c r="K6" s="8" t="s">
        <v>13</v>
      </c>
      <c r="L6" s="8" t="s">
        <v>14</v>
      </c>
      <c r="M6" s="8" t="s">
        <v>15</v>
      </c>
      <c r="N6" s="8" t="s">
        <v>16</v>
      </c>
      <c r="O6" s="8" t="s">
        <v>17</v>
      </c>
      <c r="P6" s="9" t="s">
        <v>18</v>
      </c>
      <c r="R6" s="1"/>
    </row>
    <row r="7">
      <c r="A7" s="10"/>
      <c r="B7" s="11"/>
      <c r="C7" s="12"/>
      <c r="D7" s="13"/>
      <c r="E7" s="14"/>
      <c r="F7" s="15"/>
      <c r="G7" s="16"/>
      <c r="H7" s="17"/>
      <c r="I7" s="18"/>
      <c r="J7" s="19"/>
      <c r="K7" s="20"/>
      <c r="L7" s="21"/>
      <c r="M7" s="22"/>
      <c r="N7" s="23"/>
      <c r="O7" s="24"/>
      <c r="P7" s="10"/>
      <c r="R7" s="1"/>
    </row>
    <row r="8" ht="20.25" customHeight="1">
      <c r="A8" s="25" t="s">
        <v>19</v>
      </c>
      <c r="B8" s="26">
        <v>192.65</v>
      </c>
      <c r="C8" s="26">
        <v>291.69</v>
      </c>
      <c r="D8" s="26">
        <v>0.0</v>
      </c>
      <c r="E8" s="26">
        <v>0.0</v>
      </c>
      <c r="F8" s="26">
        <v>0.0</v>
      </c>
      <c r="G8" s="26">
        <v>6710.52</v>
      </c>
      <c r="H8" s="26">
        <v>0.0</v>
      </c>
      <c r="I8" s="26">
        <v>0.0</v>
      </c>
      <c r="J8" s="26">
        <v>0.0</v>
      </c>
      <c r="K8" s="26">
        <v>309.57</v>
      </c>
      <c r="L8" s="26">
        <v>103.27</v>
      </c>
      <c r="M8" s="26">
        <v>142.92</v>
      </c>
      <c r="N8" s="26">
        <v>3640.97</v>
      </c>
      <c r="O8" s="26">
        <v>0.0</v>
      </c>
      <c r="P8" s="27">
        <f t="shared" ref="P8:P14" si="1">SUM(C8:N8)</f>
        <v>11198.94</v>
      </c>
    </row>
    <row r="9" ht="20.25" customHeight="1">
      <c r="A9" s="25" t="s">
        <v>20</v>
      </c>
      <c r="B9" s="26">
        <v>0.0</v>
      </c>
      <c r="C9" s="26">
        <v>1146.05</v>
      </c>
      <c r="D9" s="26">
        <v>0.0</v>
      </c>
      <c r="E9" s="26">
        <v>0.0</v>
      </c>
      <c r="F9" s="26">
        <v>0.0</v>
      </c>
      <c r="G9" s="26">
        <v>87.97</v>
      </c>
      <c r="H9" s="26">
        <v>0.0</v>
      </c>
      <c r="I9" s="26">
        <v>0.0</v>
      </c>
      <c r="J9" s="26">
        <v>0.0</v>
      </c>
      <c r="K9" s="26">
        <v>21.6</v>
      </c>
      <c r="L9" s="26">
        <v>46.54</v>
      </c>
      <c r="M9" s="26">
        <v>56.12</v>
      </c>
      <c r="N9" s="26">
        <v>0.0</v>
      </c>
      <c r="O9" s="26">
        <v>0.0</v>
      </c>
      <c r="P9" s="28">
        <f t="shared" si="1"/>
        <v>1358.28</v>
      </c>
      <c r="R9" s="1"/>
    </row>
    <row r="10" ht="20.25" customHeight="1">
      <c r="A10" s="25" t="s">
        <v>21</v>
      </c>
      <c r="B10" s="26">
        <v>0.0</v>
      </c>
      <c r="C10" s="26">
        <v>1073.94</v>
      </c>
      <c r="D10" s="26">
        <v>0.0</v>
      </c>
      <c r="E10" s="26">
        <v>0.0</v>
      </c>
      <c r="F10" s="26">
        <v>0.0</v>
      </c>
      <c r="G10" s="26">
        <v>86.29</v>
      </c>
      <c r="H10" s="26">
        <v>0.0</v>
      </c>
      <c r="I10" s="26">
        <v>0.0</v>
      </c>
      <c r="J10" s="26">
        <v>0.0</v>
      </c>
      <c r="K10" s="26">
        <v>21.6</v>
      </c>
      <c r="L10" s="26">
        <v>41.6</v>
      </c>
      <c r="M10" s="26">
        <v>60.82</v>
      </c>
      <c r="N10" s="26">
        <v>0.0</v>
      </c>
      <c r="O10" s="26">
        <v>0.0</v>
      </c>
      <c r="P10" s="28">
        <f t="shared" si="1"/>
        <v>1284.25</v>
      </c>
    </row>
    <row r="11" ht="20.25" customHeight="1">
      <c r="A11" s="25" t="s">
        <v>22</v>
      </c>
      <c r="B11" s="26">
        <v>0.0</v>
      </c>
      <c r="C11" s="26">
        <v>1176.61</v>
      </c>
      <c r="D11" s="26">
        <v>0.0</v>
      </c>
      <c r="E11" s="26">
        <v>0.0</v>
      </c>
      <c r="F11" s="26">
        <v>0.0</v>
      </c>
      <c r="G11" s="26">
        <v>49.16</v>
      </c>
      <c r="H11" s="26">
        <v>0.0</v>
      </c>
      <c r="I11" s="26">
        <v>0.0</v>
      </c>
      <c r="J11" s="26">
        <v>0.0</v>
      </c>
      <c r="K11" s="26">
        <v>21.6</v>
      </c>
      <c r="L11" s="26">
        <v>41.6</v>
      </c>
      <c r="M11" s="26">
        <v>54.91</v>
      </c>
      <c r="N11" s="26">
        <v>0.0</v>
      </c>
      <c r="O11" s="26">
        <v>0.0</v>
      </c>
      <c r="P11" s="28">
        <f t="shared" si="1"/>
        <v>1343.88</v>
      </c>
      <c r="R11" s="1"/>
    </row>
    <row r="12" ht="23.25" customHeight="1">
      <c r="A12" s="25" t="s">
        <v>23</v>
      </c>
      <c r="B12" s="26">
        <v>0.0</v>
      </c>
      <c r="C12" s="26">
        <v>0.0</v>
      </c>
      <c r="D12" s="26">
        <v>0.0</v>
      </c>
      <c r="E12" s="26">
        <v>0.0</v>
      </c>
      <c r="F12" s="26">
        <v>1176.6</v>
      </c>
      <c r="G12" s="26">
        <v>49.16</v>
      </c>
      <c r="H12" s="26">
        <v>0.0</v>
      </c>
      <c r="I12" s="26">
        <v>0.0</v>
      </c>
      <c r="J12" s="26">
        <v>0.0</v>
      </c>
      <c r="K12" s="26">
        <v>21.6</v>
      </c>
      <c r="L12" s="26">
        <v>41.6</v>
      </c>
      <c r="M12" s="26">
        <v>43.88</v>
      </c>
      <c r="N12" s="26">
        <v>0.0</v>
      </c>
      <c r="O12" s="26">
        <v>0.0</v>
      </c>
      <c r="P12" s="28">
        <f t="shared" si="1"/>
        <v>1332.84</v>
      </c>
    </row>
    <row r="13" ht="23.25" customHeight="1">
      <c r="A13" s="25" t="s">
        <v>24</v>
      </c>
      <c r="B13" s="26">
        <v>0.0</v>
      </c>
      <c r="C13" s="26">
        <v>8.14</v>
      </c>
      <c r="D13" s="26">
        <v>0.0</v>
      </c>
      <c r="E13" s="26">
        <v>0.0</v>
      </c>
      <c r="F13" s="26">
        <v>0.0</v>
      </c>
      <c r="G13" s="26">
        <v>1211.7</v>
      </c>
      <c r="H13" s="26">
        <v>0.0</v>
      </c>
      <c r="I13" s="26">
        <v>0.0</v>
      </c>
      <c r="J13" s="26">
        <v>0.0</v>
      </c>
      <c r="K13" s="26">
        <v>21.6</v>
      </c>
      <c r="L13" s="26">
        <v>41.6</v>
      </c>
      <c r="M13" s="26">
        <v>59.26</v>
      </c>
      <c r="N13" s="26">
        <v>0.0</v>
      </c>
      <c r="O13" s="26">
        <v>0.0</v>
      </c>
      <c r="P13" s="28">
        <f t="shared" si="1"/>
        <v>1342.3</v>
      </c>
      <c r="R13" s="1"/>
    </row>
    <row r="14">
      <c r="A14" s="29" t="s">
        <v>25</v>
      </c>
      <c r="B14" s="30">
        <f>SUM(B8:B12)</f>
        <v>192.65</v>
      </c>
      <c r="C14" s="30">
        <f>SUM(C8:C13)</f>
        <v>3696.43</v>
      </c>
      <c r="D14" s="30">
        <f t="shared" ref="D14:F14" si="2">SUM(D8:D12)</f>
        <v>0</v>
      </c>
      <c r="E14" s="30">
        <f t="shared" si="2"/>
        <v>0</v>
      </c>
      <c r="F14" s="30">
        <f t="shared" si="2"/>
        <v>1176.6</v>
      </c>
      <c r="G14" s="30">
        <f>SUM(G8:G13)</f>
        <v>8194.8</v>
      </c>
      <c r="H14" s="30">
        <f t="shared" ref="H14:J14" si="3">SUM(H8:H12)</f>
        <v>0</v>
      </c>
      <c r="I14" s="30">
        <f t="shared" si="3"/>
        <v>0</v>
      </c>
      <c r="J14" s="30">
        <f t="shared" si="3"/>
        <v>0</v>
      </c>
      <c r="K14" s="30">
        <f>SUM(K8:K13)</f>
        <v>417.57</v>
      </c>
      <c r="L14" s="30">
        <f t="shared" ref="L14:O14" si="4">SUM(L8:L12)</f>
        <v>274.61</v>
      </c>
      <c r="M14" s="30">
        <f t="shared" si="4"/>
        <v>358.65</v>
      </c>
      <c r="N14" s="30">
        <f t="shared" si="4"/>
        <v>3640.97</v>
      </c>
      <c r="O14" s="30">
        <f t="shared" si="4"/>
        <v>0</v>
      </c>
      <c r="P14" s="30">
        <f t="shared" si="1"/>
        <v>17759.63</v>
      </c>
    </row>
    <row r="15" ht="58.5" customHeight="1">
      <c r="R15" s="1"/>
    </row>
    <row r="16">
      <c r="A16" s="31" t="s">
        <v>26</v>
      </c>
      <c r="B16" s="5"/>
      <c r="C16" s="5"/>
      <c r="D16" s="6"/>
    </row>
    <row r="17">
      <c r="A17" s="8" t="s">
        <v>27</v>
      </c>
      <c r="B17" s="32" t="s">
        <v>28</v>
      </c>
      <c r="C17" s="33" t="s">
        <v>29</v>
      </c>
      <c r="D17" s="34" t="s">
        <v>30</v>
      </c>
    </row>
    <row r="18">
      <c r="A18" s="26">
        <f>P14-N14</f>
        <v>14118.66</v>
      </c>
      <c r="B18" s="35">
        <v>12.4</v>
      </c>
      <c r="C18" s="35">
        <v>3640.97</v>
      </c>
      <c r="D18" s="35">
        <f>SUM(C8:N8)</f>
        <v>11198.94</v>
      </c>
    </row>
    <row r="23" ht="31.5" customHeight="1"/>
    <row r="26" ht="32.25" customHeight="1"/>
    <row r="27" ht="33.0" customHeight="1"/>
  </sheetData>
  <mergeCells count="5">
    <mergeCell ref="A1:C3"/>
    <mergeCell ref="A5:P5"/>
    <mergeCell ref="A6:A7"/>
    <mergeCell ref="P6:P7"/>
    <mergeCell ref="A16:D16"/>
  </mergeCells>
  <printOptions horizontalCentered="1"/>
  <pageMargins bottom="0.75" footer="0.0" header="0.0" left="0.7" right="0.7" top="0.75"/>
  <pageSetup paperSize="5" scale="60" orientation="landscape" pageOrder="overThenDown"/>
  <drawing r:id="rId1"/>
</worksheet>
</file>