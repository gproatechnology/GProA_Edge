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lS56BpoFv5rz3boeB2ihyUV9hF3f18yYB5yAFln07w="/>
    </ext>
  </extLst>
</workbook>
</file>

<file path=xl/sharedStrings.xml><?xml version="1.0" encoding="utf-8"?>
<sst xmlns="http://schemas.openxmlformats.org/spreadsheetml/2006/main" count="24" uniqueCount="23">
  <si>
    <t>EDGE Industrial</t>
  </si>
  <si>
    <t>Light Industry</t>
  </si>
  <si>
    <r>
      <rPr>
        <rFont val="Arial Narrow"/>
        <b/>
        <color rgb="FF1C4587"/>
        <sz val="12.0"/>
      </rPr>
      <t xml:space="preserve">
CUU PV-03 Tristone
</t>
    </r>
    <r>
      <rPr>
        <rFont val="Arial Narrow"/>
        <b val="0"/>
        <color rgb="FF1C4587"/>
        <sz val="12.0"/>
      </rPr>
      <t>Project ID: 1002056054</t>
    </r>
  </si>
  <si>
    <t>AREAS BREAKDOWN</t>
  </si>
  <si>
    <t>Level</t>
  </si>
  <si>
    <t>Office Space</t>
  </si>
  <si>
    <t>Receiving Area</t>
  </si>
  <si>
    <t>Shipping Area</t>
  </si>
  <si>
    <t>Production Area</t>
  </si>
  <si>
    <t>Inventory Area</t>
  </si>
  <si>
    <t>Mechanichal and Electrical Room</t>
  </si>
  <si>
    <t>Kitchen &amp; Food Preparation</t>
  </si>
  <si>
    <t>Indoor Car Parking</t>
  </si>
  <si>
    <t>Cold Storage</t>
  </si>
  <si>
    <t>Gross Internal Area</t>
  </si>
  <si>
    <t>PB</t>
  </si>
  <si>
    <t>TOTAL</t>
  </si>
  <si>
    <t>AREAS SUMMARY</t>
  </si>
  <si>
    <t>Irrigated Area</t>
  </si>
  <si>
    <t>Area with Exterior Lighting</t>
  </si>
  <si>
    <t xml:space="preserve">Aggregate Roof Area </t>
  </si>
  <si>
    <t>External Carparking Area</t>
  </si>
  <si>
    <t>Note: All area measurements provided in this document are expressed in square meters (m²).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</si>
</sst>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0.0"/>
      <color rgb="FF000000"/>
      <name val="Arial"/>
      <scheme val="minor"/>
    </font>
    <font>
      <color theme="1"/>
      <name val="Arial Narrow"/>
    </font>
    <font>
      <color theme="1"/>
      <name val="Arial"/>
    </font>
    <font>
      <b/>
      <sz val="12.0"/>
      <color rgb="FF1C4587"/>
      <name val="Arial Narrow"/>
    </font>
    <font>
      <sz val="12.0"/>
      <color rgb="FF1C4587"/>
      <name val="Arial Narrow"/>
    </font>
    <font>
      <b/>
      <sz val="13.0"/>
      <color rgb="FFF5F5F5"/>
      <name val="Arial Narrow"/>
    </font>
    <font/>
    <font>
      <b/>
      <sz val="11.0"/>
      <color rgb="FFFFFFFF"/>
      <name val="Arial Narrow"/>
    </font>
    <font>
      <b/>
      <color rgb="FFFFFFFF"/>
      <name val="Arial Narrow"/>
    </font>
    <font>
      <sz val="8.0"/>
      <color rgb="FF434343"/>
      <name val="Arial Narrow"/>
    </font>
  </fonts>
  <fills count="1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EBB30"/>
        <bgColor rgb="FFCEBB30"/>
      </patternFill>
    </fill>
    <fill>
      <patternFill patternType="solid">
        <fgColor rgb="FFBD70C0"/>
        <bgColor rgb="FFBD70C0"/>
      </patternFill>
    </fill>
    <fill>
      <patternFill patternType="solid">
        <fgColor rgb="FFEC6041"/>
        <bgColor rgb="FFEC6041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30800A"/>
        <bgColor rgb="FF30800A"/>
      </patternFill>
    </fill>
    <fill>
      <patternFill patternType="solid">
        <fgColor rgb="FFD0C99E"/>
        <bgColor rgb="FFD0C99E"/>
      </patternFill>
    </fill>
    <fill>
      <patternFill patternType="solid">
        <fgColor rgb="FF6CAEDF"/>
        <bgColor rgb="FF6CAEDF"/>
      </patternFill>
    </fill>
    <fill>
      <patternFill patternType="solid">
        <fgColor rgb="FF5099E7"/>
        <bgColor rgb="FF5099E7"/>
      </patternFill>
    </fill>
  </fills>
  <borders count="7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5" fillId="4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wrapText="1"/>
    </xf>
    <xf borderId="5" fillId="0" fontId="1" numFmtId="4" xfId="0" applyAlignment="1" applyBorder="1" applyFont="1" applyNumberFormat="1">
      <alignment horizontal="center" readingOrder="0" vertical="bottom"/>
    </xf>
    <xf borderId="5" fillId="0" fontId="1" numFmtId="4" xfId="0" applyAlignment="1" applyBorder="1" applyFont="1" applyNumberFormat="1">
      <alignment horizontal="center" vertical="bottom"/>
    </xf>
    <xf borderId="5" fillId="7" fontId="1" numFmtId="164" xfId="0" applyAlignment="1" applyBorder="1" applyFont="1" applyNumberFormat="1">
      <alignment horizontal="center" vertical="bottom"/>
    </xf>
    <xf borderId="5" fillId="8" fontId="8" numFmtId="0" xfId="0" applyAlignment="1" applyBorder="1" applyFill="1" applyFont="1">
      <alignment horizontal="center" vertical="bottom"/>
    </xf>
    <xf borderId="5" fillId="8" fontId="8" numFmtId="4" xfId="0" applyAlignment="1" applyBorder="1" applyFont="1" applyNumberFormat="1">
      <alignment horizontal="center" vertical="bottom"/>
    </xf>
    <xf borderId="5" fillId="8" fontId="8" numFmtId="164" xfId="0" applyAlignment="1" applyBorder="1" applyFont="1" applyNumberFormat="1">
      <alignment horizontal="center" vertical="bottom"/>
    </xf>
    <xf borderId="5" fillId="9" fontId="7" numFmtId="0" xfId="0" applyAlignment="1" applyBorder="1" applyFill="1" applyFont="1">
      <alignment horizontal="center" readingOrder="0" shrinkToFit="0" vertical="center" wrapText="1"/>
    </xf>
    <xf borderId="5" fillId="10" fontId="7" numFmtId="0" xfId="0" applyAlignment="1" applyBorder="1" applyFill="1" applyFont="1">
      <alignment horizontal="center" readingOrder="0" shrinkToFit="0" vertical="center" wrapText="1"/>
    </xf>
    <xf borderId="5" fillId="11" fontId="7" numFmtId="0" xfId="0" applyAlignment="1" applyBorder="1" applyFill="1" applyFont="1">
      <alignment horizontal="center" shrinkToFit="0" vertical="center" wrapText="1"/>
    </xf>
    <xf borderId="5" fillId="12" fontId="7" numFmtId="0" xfId="0" applyAlignment="1" applyBorder="1" applyFill="1" applyFon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155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1" width="12.75"/>
    <col customWidth="1" min="12" max="12" width="17.0"/>
  </cols>
  <sheetData>
    <row r="1" ht="20.25" customHeight="1">
      <c r="A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E2" s="1"/>
      <c r="F2" s="3"/>
      <c r="G2" s="1"/>
      <c r="H2" s="1"/>
      <c r="I2" s="4" t="s">
        <v>0</v>
      </c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0" customHeight="1">
      <c r="E3" s="1"/>
      <c r="F3" s="3"/>
      <c r="G3" s="1"/>
      <c r="H3" s="1"/>
      <c r="I3" s="5" t="s">
        <v>1</v>
      </c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E4" s="1"/>
      <c r="F4" s="3"/>
      <c r="G4" s="1"/>
      <c r="H4" s="1"/>
      <c r="I4" s="4" t="s">
        <v>2</v>
      </c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61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3"/>
      <c r="M5" s="2"/>
      <c r="N5" s="2"/>
      <c r="O5" s="2"/>
    </row>
    <row r="6" ht="15.75" customHeight="1">
      <c r="A6" s="6" t="s">
        <v>3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ht="15.75" customHeight="1">
      <c r="A7" s="9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13</v>
      </c>
      <c r="K7" s="11" t="s">
        <v>14</v>
      </c>
      <c r="M7" s="2"/>
    </row>
    <row r="8" ht="15.75" customHeight="1">
      <c r="A8" s="12"/>
      <c r="B8" s="13"/>
      <c r="C8" s="14"/>
      <c r="D8" s="14"/>
      <c r="E8" s="15"/>
      <c r="F8" s="14"/>
      <c r="G8" s="16"/>
      <c r="H8" s="14"/>
      <c r="I8" s="14"/>
      <c r="J8" s="14"/>
      <c r="K8" s="12"/>
      <c r="M8" s="2"/>
    </row>
    <row r="9" ht="20.25" customHeight="1">
      <c r="A9" s="17" t="s">
        <v>15</v>
      </c>
      <c r="B9" s="18">
        <v>17.0</v>
      </c>
      <c r="C9" s="18">
        <v>0.0</v>
      </c>
      <c r="D9" s="18">
        <v>0.0</v>
      </c>
      <c r="E9" s="18">
        <v>15652.42</v>
      </c>
      <c r="F9" s="19">
        <v>0.0</v>
      </c>
      <c r="G9" s="19">
        <f>29.15+29.15+74.16</f>
        <v>132.46</v>
      </c>
      <c r="H9" s="19">
        <v>0.0</v>
      </c>
      <c r="I9" s="19">
        <v>0.0</v>
      </c>
      <c r="J9" s="19">
        <v>0.0</v>
      </c>
      <c r="K9" s="20">
        <f>SUM(B9:J9)</f>
        <v>15801.88</v>
      </c>
    </row>
    <row r="10" ht="15.75" customHeight="1">
      <c r="A10" s="21" t="s">
        <v>16</v>
      </c>
      <c r="B10" s="22">
        <f t="shared" ref="B10:K10" si="1">SUM(B9)</f>
        <v>17</v>
      </c>
      <c r="C10" s="22">
        <f t="shared" si="1"/>
        <v>0</v>
      </c>
      <c r="D10" s="22">
        <f t="shared" si="1"/>
        <v>0</v>
      </c>
      <c r="E10" s="22">
        <f t="shared" si="1"/>
        <v>15652.42</v>
      </c>
      <c r="F10" s="22">
        <f t="shared" si="1"/>
        <v>0</v>
      </c>
      <c r="G10" s="22">
        <f t="shared" si="1"/>
        <v>132.46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3">
        <f t="shared" si="1"/>
        <v>15801.88</v>
      </c>
    </row>
    <row r="11" ht="58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M11" s="2"/>
    </row>
    <row r="12" ht="15.75" customHeight="1">
      <c r="A12" s="6" t="s">
        <v>17</v>
      </c>
      <c r="B12" s="7"/>
      <c r="C12" s="7"/>
      <c r="D12" s="7"/>
      <c r="E12" s="8"/>
      <c r="F12" s="3"/>
      <c r="G12" s="3"/>
      <c r="H12" s="3"/>
      <c r="I12" s="3"/>
      <c r="J12" s="3"/>
      <c r="K12" s="3"/>
    </row>
    <row r="13" ht="15.75" customHeight="1">
      <c r="A13" s="10" t="s">
        <v>14</v>
      </c>
      <c r="B13" s="24" t="s">
        <v>18</v>
      </c>
      <c r="C13" s="25" t="s">
        <v>19</v>
      </c>
      <c r="D13" s="26" t="s">
        <v>20</v>
      </c>
      <c r="E13" s="27" t="s">
        <v>21</v>
      </c>
      <c r="F13" s="3"/>
      <c r="G13" s="3"/>
      <c r="H13" s="3"/>
      <c r="I13" s="3"/>
      <c r="J13" s="3"/>
      <c r="K13" s="3"/>
    </row>
    <row r="14" ht="15.75" customHeight="1">
      <c r="A14" s="28">
        <f>K10</f>
        <v>15801.88</v>
      </c>
      <c r="B14" s="18">
        <v>951.46</v>
      </c>
      <c r="C14" s="18">
        <v>16475.92</v>
      </c>
      <c r="D14" s="19">
        <f>K9</f>
        <v>15801.88</v>
      </c>
      <c r="E14" s="18">
        <v>7961.92</v>
      </c>
      <c r="F14" s="3"/>
      <c r="G14" s="3"/>
      <c r="H14" s="3"/>
      <c r="I14" s="3"/>
      <c r="J14" s="3"/>
      <c r="K14" s="3"/>
    </row>
    <row r="15" ht="18.0" customHeight="1">
      <c r="A15" s="29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/>
    <row r="18" ht="15.75" customHeight="1"/>
    <row r="19" ht="31.5" customHeight="1"/>
    <row r="20" ht="15.75" customHeight="1"/>
    <row r="21" ht="15.75" customHeight="1"/>
    <row r="22" ht="32.25" customHeight="1"/>
    <row r="23" ht="33.0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">
    <mergeCell ref="A1:D4"/>
    <mergeCell ref="A6:K6"/>
    <mergeCell ref="A7:A8"/>
    <mergeCell ref="K7:K8"/>
    <mergeCell ref="A12:E12"/>
  </mergeCells>
  <printOptions horizontalCentered="1"/>
  <pageMargins bottom="0.75" footer="0.0" header="0.0" left="0.7" right="0.7" top="0.75"/>
  <pageSetup paperSize="5" orientation="landscape" pageOrder="overThenDown"/>
  <drawing r:id="rId1"/>
</worksheet>
</file>