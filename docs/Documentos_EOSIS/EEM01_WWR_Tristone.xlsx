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3" sheetId="1" r:id="rId4"/>
  </sheets>
  <definedNames/>
  <calcPr/>
  <extLst>
    <ext uri="GoogleSheetsCustomDataVersion2">
      <go:sheetsCustomData xmlns:go="http://customooxmlschemas.google.com/" r:id="rId5" roundtripDataChecksum="qIbC3D2f9dnyL2sQgqMVzcJSeBdUEgwIPmmI2Ahskrg="/>
    </ext>
  </extLst>
</workbook>
</file>

<file path=xl/sharedStrings.xml><?xml version="1.0" encoding="utf-8"?>
<sst xmlns="http://schemas.openxmlformats.org/spreadsheetml/2006/main" count="17" uniqueCount="17">
  <si>
    <t>EDGE v3.1</t>
  </si>
  <si>
    <t>Category:</t>
  </si>
  <si>
    <t>EEM01</t>
  </si>
  <si>
    <r>
      <rPr>
        <rFont val="Arial"/>
        <b/>
        <color rgb="FF1C4587"/>
        <sz val="12.0"/>
      </rPr>
      <t>Strategy:</t>
    </r>
    <r>
      <rPr>
        <rFont val="Arial"/>
        <color rgb="FF1C4587"/>
        <sz val="12.0"/>
      </rPr>
      <t xml:space="preserve"> </t>
    </r>
    <r>
      <rPr>
        <rFont val="Arial"/>
        <color rgb="FF1C4587"/>
        <sz val="11.0"/>
      </rPr>
      <t>Window to Wall Ratio</t>
    </r>
  </si>
  <si>
    <r>
      <rPr>
        <rFont val="Arial"/>
        <b/>
        <color rgb="FF1C4587"/>
        <sz val="12.0"/>
      </rPr>
      <t xml:space="preserve">
CUU PV-03 Tristone
</t>
    </r>
    <r>
      <rPr>
        <rFont val="Arial"/>
        <b val="0"/>
        <color rgb="FF1C4587"/>
        <sz val="12.0"/>
      </rPr>
      <t>Project ID: 1002056054</t>
    </r>
  </si>
  <si>
    <t>WWR</t>
  </si>
  <si>
    <t>FACADE</t>
  </si>
  <si>
    <t>Wall area (m2)</t>
  </si>
  <si>
    <t>Glazing Area (m2)</t>
  </si>
  <si>
    <t>Exposed Gross Facade Area (m2)</t>
  </si>
  <si>
    <t>WWR %</t>
  </si>
  <si>
    <t>North</t>
  </si>
  <si>
    <t>South</t>
  </si>
  <si>
    <t>East</t>
  </si>
  <si>
    <t>West</t>
  </si>
  <si>
    <t>TOTAL</t>
  </si>
  <si>
    <r>
      <rPr>
        <rFont val="Arial"/>
        <color rgb="FF1C4587"/>
        <sz val="11.0"/>
      </rPr>
      <t>The total glazing area is equivalent to 2.59</t>
    </r>
    <r>
      <rPr>
        <rFont val="Arial"/>
        <b/>
        <color rgb="FF1C4587"/>
        <sz val="11.0"/>
      </rPr>
      <t>%</t>
    </r>
    <r>
      <rPr>
        <rFont val="Arial"/>
        <color rgb="FF1C4587"/>
        <sz val="11.0"/>
      </rPr>
      <t xml:space="preserve"> in relation to the wall.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</si>
</sst>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sz val="15.0"/>
      <color rgb="FF1C4587"/>
      <name val="Arial"/>
    </font>
    <font>
      <b/>
      <sz val="12.0"/>
      <color rgb="FF1C4587"/>
      <name val="Arial"/>
    </font>
    <font>
      <sz val="12.0"/>
      <color rgb="FF1C4587"/>
      <name val="Arial"/>
    </font>
    <font>
      <b/>
      <color rgb="FFFFFFFF"/>
      <name val="Arial"/>
    </font>
    <font/>
    <font>
      <color rgb="FFFFFFFF"/>
      <name val="Arial"/>
    </font>
    <font>
      <color rgb="FF434343"/>
      <name val="Arial"/>
    </font>
    <font>
      <sz val="11.0"/>
      <color rgb="FF1C4587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17EC1"/>
        <bgColor rgb="FF017EC1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004B8E"/>
        <bgColor rgb="FF004B8E"/>
      </patternFill>
    </fill>
    <fill>
      <patternFill patternType="solid">
        <fgColor rgb="FFB7B7B7"/>
        <bgColor rgb="FFB7B7B7"/>
      </patternFill>
    </fill>
  </fills>
  <borders count="5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bottom"/>
    </xf>
    <xf borderId="1" fillId="2" fontId="5" numFmtId="0" xfId="0" applyAlignment="1" applyBorder="1" applyFill="1" applyFont="1">
      <alignment horizontal="center"/>
    </xf>
    <xf borderId="2" fillId="0" fontId="6" numFmtId="0" xfId="0" applyBorder="1" applyFont="1"/>
    <xf borderId="3" fillId="0" fontId="6" numFmtId="0" xfId="0" applyBorder="1" applyFont="1"/>
    <xf borderId="4" fillId="3" fontId="7" numFmtId="0" xfId="0" applyAlignment="1" applyBorder="1" applyFill="1" applyFont="1">
      <alignment horizontal="center" shrinkToFit="0" vertical="center" wrapText="1"/>
    </xf>
    <xf borderId="4" fillId="4" fontId="8" numFmtId="0" xfId="0" applyAlignment="1" applyBorder="1" applyFill="1" applyFont="1">
      <alignment horizontal="center"/>
    </xf>
    <xf borderId="4" fillId="5" fontId="8" numFmtId="4" xfId="0" applyAlignment="1" applyBorder="1" applyFill="1" applyFont="1" applyNumberFormat="1">
      <alignment horizontal="center" readingOrder="0" vertical="bottom"/>
    </xf>
    <xf borderId="4" fillId="5" fontId="8" numFmtId="4" xfId="0" applyAlignment="1" applyBorder="1" applyFont="1" applyNumberFormat="1">
      <alignment horizontal="center" vertical="bottom"/>
    </xf>
    <xf borderId="4" fillId="6" fontId="7" numFmtId="0" xfId="0" applyAlignment="1" applyBorder="1" applyFill="1" applyFont="1">
      <alignment horizontal="center" shrinkToFit="0" wrapText="1"/>
    </xf>
    <xf borderId="4" fillId="7" fontId="5" numFmtId="4" xfId="0" applyAlignment="1" applyBorder="1" applyFill="1" applyFont="1" applyNumberFormat="1">
      <alignment horizontal="center"/>
    </xf>
    <xf borderId="4" fillId="7" fontId="5" numFmtId="2" xfId="0" applyAlignment="1" applyBorder="1" applyFont="1" applyNumberFormat="1">
      <alignment horizontal="center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09537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5.88"/>
    <col customWidth="1" min="2" max="6" width="14.5"/>
  </cols>
  <sheetData>
    <row r="1" ht="43.5" customHeight="1">
      <c r="B1" s="1"/>
      <c r="E1" s="2"/>
      <c r="F1" s="2"/>
    </row>
    <row r="2" ht="23.25" customHeight="1">
      <c r="B2" s="3"/>
      <c r="C2" s="3"/>
      <c r="D2" s="3"/>
      <c r="E2" s="3"/>
      <c r="F2" s="3"/>
    </row>
    <row r="3" ht="18.0" customHeight="1">
      <c r="A3" s="4"/>
      <c r="B3" s="5" t="s">
        <v>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4"/>
      <c r="B4" s="6" t="s">
        <v>1</v>
      </c>
      <c r="C4" s="7" t="s">
        <v>2</v>
      </c>
      <c r="D4" s="8" t="s">
        <v>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9" t="s">
        <v>4</v>
      </c>
      <c r="C6" s="10"/>
      <c r="D6" s="11"/>
      <c r="E6" s="11"/>
      <c r="F6" s="1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0" customHeight="1">
      <c r="B7" s="12"/>
      <c r="C7" s="12"/>
      <c r="D7" s="12"/>
      <c r="E7" s="12"/>
      <c r="F7" s="12"/>
    </row>
    <row r="8" ht="15.75" customHeight="1">
      <c r="B8" s="13" t="s">
        <v>5</v>
      </c>
      <c r="C8" s="14"/>
      <c r="D8" s="14"/>
      <c r="E8" s="14"/>
      <c r="F8" s="15"/>
    </row>
    <row r="9" ht="15.75" customHeight="1">
      <c r="B9" s="16" t="s">
        <v>6</v>
      </c>
      <c r="C9" s="16" t="s">
        <v>7</v>
      </c>
      <c r="D9" s="16" t="s">
        <v>8</v>
      </c>
      <c r="E9" s="16" t="s">
        <v>9</v>
      </c>
      <c r="F9" s="16" t="s">
        <v>10</v>
      </c>
    </row>
    <row r="10" ht="15.75" customHeight="1">
      <c r="B10" s="17" t="s">
        <v>11</v>
      </c>
      <c r="C10" s="18">
        <v>2141.53</v>
      </c>
      <c r="D10" s="18">
        <v>107.21</v>
      </c>
      <c r="E10" s="19">
        <f t="shared" ref="E10:E13" si="1">C10+D10</f>
        <v>2248.74</v>
      </c>
      <c r="F10" s="19">
        <f t="shared" ref="F10:F14" si="2">(D10*100)/E10</f>
        <v>4.767558722</v>
      </c>
    </row>
    <row r="11" ht="15.75" customHeight="1">
      <c r="B11" s="17" t="s">
        <v>12</v>
      </c>
      <c r="C11" s="18">
        <v>2265.98</v>
      </c>
      <c r="D11" s="18">
        <v>0.0</v>
      </c>
      <c r="E11" s="19">
        <f t="shared" si="1"/>
        <v>2265.98</v>
      </c>
      <c r="F11" s="19">
        <f t="shared" si="2"/>
        <v>0</v>
      </c>
    </row>
    <row r="12" ht="15.75" customHeight="1">
      <c r="B12" s="17" t="s">
        <v>13</v>
      </c>
      <c r="C12" s="18">
        <v>886.78</v>
      </c>
      <c r="D12" s="18">
        <v>28.63</v>
      </c>
      <c r="E12" s="19">
        <f t="shared" si="1"/>
        <v>915.41</v>
      </c>
      <c r="F12" s="19">
        <f t="shared" si="2"/>
        <v>3.127560328</v>
      </c>
    </row>
    <row r="13" ht="15.75" customHeight="1">
      <c r="B13" s="17" t="s">
        <v>14</v>
      </c>
      <c r="C13" s="18">
        <v>886.78</v>
      </c>
      <c r="D13" s="18">
        <v>28.63</v>
      </c>
      <c r="E13" s="19">
        <f t="shared" si="1"/>
        <v>915.41</v>
      </c>
      <c r="F13" s="19">
        <f t="shared" si="2"/>
        <v>3.127560328</v>
      </c>
    </row>
    <row r="14" ht="15.75" customHeight="1">
      <c r="B14" s="20" t="s">
        <v>15</v>
      </c>
      <c r="C14" s="21">
        <f t="shared" ref="C14:E14" si="3">C10+C13+C11+C12</f>
        <v>6181.07</v>
      </c>
      <c r="D14" s="21">
        <f t="shared" si="3"/>
        <v>164.47</v>
      </c>
      <c r="E14" s="21">
        <f t="shared" si="3"/>
        <v>6345.54</v>
      </c>
      <c r="F14" s="22">
        <f t="shared" si="2"/>
        <v>2.591899192</v>
      </c>
    </row>
    <row r="15" ht="26.25" customHeight="1">
      <c r="B15" s="2"/>
      <c r="C15" s="2"/>
      <c r="D15" s="2"/>
      <c r="E15" s="2"/>
      <c r="F15" s="2"/>
    </row>
    <row r="16" ht="15.75" customHeight="1">
      <c r="B16" s="23" t="s">
        <v>16</v>
      </c>
      <c r="C16" s="2"/>
      <c r="D16" s="1"/>
      <c r="E16" s="2"/>
      <c r="F16" s="2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D1"/>
    <mergeCell ref="B3:F3"/>
    <mergeCell ref="B4:B5"/>
    <mergeCell ref="C4:C5"/>
    <mergeCell ref="D4:F5"/>
    <mergeCell ref="B8:F8"/>
  </mergeCells>
  <printOptions gridLines="1"/>
  <pageMargins bottom="0.75" footer="0.0" header="0.0" left="0.7" right="0.7" top="0.75"/>
  <pageSetup fitToHeight="0" paperSize="9" cellComments="atEnd" orientation="landscape" pageOrder="overThenDown"/>
  <drawing r:id="rId1"/>
</worksheet>
</file>