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asificacion EDGE" sheetId="1" r:id="rId4"/>
    <sheet state="visible" name="Validacion WBS" sheetId="2" r:id="rId5"/>
    <sheet state="visible" name="Hoja 1" sheetId="3" r:id="rId6"/>
    <sheet state="visible" name="Hoja 2" sheetId="4" r:id="rId7"/>
  </sheets>
  <definedNames/>
  <calcPr/>
  <extLst>
    <ext uri="GoogleSheetsCustomDataVersion2">
      <go:sheetsCustomData xmlns:go="http://customooxmlschemas.google.com/" r:id="rId8" roundtripDataChecksum="SSlKSVRQuPIVMuscc6sKBdtWMTDxzJGmuaNQ3tbL8w4="/>
    </ext>
  </extLst>
</workbook>
</file>

<file path=xl/sharedStrings.xml><?xml version="1.0" encoding="utf-8"?>
<sst xmlns="http://schemas.openxmlformats.org/spreadsheetml/2006/main" count="623" uniqueCount="252">
  <si>
    <t>WBS EDGE</t>
  </si>
  <si>
    <t xml:space="preserve">Instrucciones </t>
  </si>
  <si>
    <t>1. Realiza un save as de este documento en la carpeta del proyecto correspondiente.</t>
  </si>
  <si>
    <t>2. Ajusta tu WBS considerando las actividades que aplican a tu proyecto.</t>
  </si>
  <si>
    <t>3. Cuadra las horas considerando el presupuesto de horas otorgado por tu Gerente de Operaciones.</t>
  </si>
  <si>
    <t>4. Dírígete a la hoja de "WBS outputs" y descárgala</t>
  </si>
  <si>
    <t>5. Dirígete a la hoja de "Etapas_outputs" y descárgala.</t>
  </si>
  <si>
    <t>6. Importa en SmartSuite los documentos descargados siguiendo los pasos de la presentación "Proceso de recepción de proyecto_PM".</t>
  </si>
  <si>
    <t>1 día equivale a ,2</t>
  </si>
  <si>
    <t>1 semana equivale a 1</t>
  </si>
  <si>
    <t>Fecha estimada de inicio</t>
  </si>
  <si>
    <t>Tiempos Equipo</t>
  </si>
  <si>
    <t>Tiempos pendientes Equipo</t>
  </si>
  <si>
    <t xml:space="preserve">Actividades </t>
  </si>
  <si>
    <t>Bloque</t>
  </si>
  <si>
    <t>Actividad</t>
  </si>
  <si>
    <t>Horas estimadas (mediano)</t>
  </si>
  <si>
    <t>Duracion (semanas)</t>
  </si>
  <si>
    <t>Fecha inicio</t>
  </si>
  <si>
    <t>Fecha fin</t>
  </si>
  <si>
    <t>Descripción de actividades</t>
  </si>
  <si>
    <t>CJ</t>
  </si>
  <si>
    <t>CS</t>
  </si>
  <si>
    <t>PM</t>
  </si>
  <si>
    <t>Auditor</t>
  </si>
  <si>
    <t>HPen CJ</t>
  </si>
  <si>
    <t>HPen CS</t>
  </si>
  <si>
    <t>HPen PM</t>
  </si>
  <si>
    <t>HPen Auditor</t>
  </si>
  <si>
    <t>Críticas</t>
  </si>
  <si>
    <t>0. Carga en Smart Suite</t>
  </si>
  <si>
    <t>0.1 Gestión de proyecto</t>
  </si>
  <si>
    <t>Gestionar y programar el WBS del proyecto en Smart Suite.</t>
  </si>
  <si>
    <t>1. Seguimiento</t>
  </si>
  <si>
    <t>1.1 Reuniones con el cliente</t>
  </si>
  <si>
    <t xml:space="preserve">Atender reuniones con el cliente </t>
  </si>
  <si>
    <t>1.2 Kick-off</t>
  </si>
  <si>
    <t>Exponer ante el cliente el comportamiento del proyecto en EDGE. Explicar las estrategias a seguir y las metas de la certificación.</t>
  </si>
  <si>
    <t xml:space="preserve">2. EDGE Expert: Diseño Integrado </t>
  </si>
  <si>
    <t>2.1 Evaluación inicial en EDGE App</t>
  </si>
  <si>
    <t>Revisar la información compartida y evaluar el proyecto en la EDGE App.</t>
  </si>
  <si>
    <t>2.2 Revisión de diseño arquitectónico y de ingeniería</t>
  </si>
  <si>
    <t>Revisar los avances de las ingenierías del proyecto detéctando áreas de oportunidad y mejora para cumplir con los objetivos de EDGE.</t>
  </si>
  <si>
    <t>3. EDGE Expert: Seguimiento</t>
  </si>
  <si>
    <t>3.1. Reuniones de seguimiento con cliente</t>
  </si>
  <si>
    <t>Programar y llevar reuniones con el cliente y los equipos de trabajo para explicar si se está cumpliendo con las estrategias persegidas.</t>
  </si>
  <si>
    <t>3.2 Coordinación con equipo de diseño y ajustes</t>
  </si>
  <si>
    <t>Capacitaciones para el equipo de diseño, revisión de planos y sugerencias.</t>
  </si>
  <si>
    <t>4. EDGE Expert: Documentación Diseño</t>
  </si>
  <si>
    <t xml:space="preserve">4.1 Alta del proyecto en EDGE APP y verificación de versión </t>
  </si>
  <si>
    <t>Realizar el registro del proyecto, solicitar al cliente los datos de registro a través de un RFI.</t>
  </si>
  <si>
    <t>4.2 Configuración de parámetros base y tipologías</t>
  </si>
  <si>
    <t>Definir y generar tipologías del proyecto</t>
  </si>
  <si>
    <t>4.3. Revisión de planos y fichas técnicas</t>
  </si>
  <si>
    <t>Revisión de planos as-built y fichas técnicas, generación de issues log y recomendaciones.</t>
  </si>
  <si>
    <t>4.4 Design</t>
  </si>
  <si>
    <t>Realizar el llenado de la pestaña de diseño en EDGE App. Subir los documentos correspondientes.</t>
  </si>
  <si>
    <t>4.5 EEM01* Window-to-Wall Ratio</t>
  </si>
  <si>
    <t>Revisar los alzados del proyecto para calcular la proporción de ventana-muro, llenar calculadora en EDGE App y subir documentación correspondiente.</t>
  </si>
  <si>
    <t>4.6 EEM02 Reflective Roof: Solar Reflectance Index</t>
  </si>
  <si>
    <t>Revisar el plano de acabados de techo, investigar la ficha técnica del material propuesto, llenar la calculadora de la EDGE App y subir documentación correspondiente.</t>
  </si>
  <si>
    <t>4.7 EEM03 Reflective Exterior Walls</t>
  </si>
  <si>
    <t>Revisar los planos de acabados de muros exteriores, investigar la ficha técnica del material propuesto, llenar la calculadora de la EDGE App y subir documentación correspondiente.</t>
  </si>
  <si>
    <t>4.8 EEM04 External Shading Devices</t>
  </si>
  <si>
    <t>Revisar planos de fachadas, resaltando los louvers o protecciones solares, generar detalles de ventanería con la profundidad de las protecciones, llenar calculadora y cálculos en la EDGE App y subir documentación correspondiente.</t>
  </si>
  <si>
    <t>4.9 EEM05* Insulation of Roof</t>
  </si>
  <si>
    <t>Revisar el plano de especificaciones de sistema constructivo de techo, investigar la ficha técnica del material propuesto, llenar la calculadora de la EDGE App y subir documentación correspondiente.</t>
  </si>
  <si>
    <t>4.10 EEM06* Insulation of Ground/Raised Floor Slab</t>
  </si>
  <si>
    <t>Revisar el plano de especificaciones de sistema constructivo de entrepisos, investigar la ficha técnica del material propuesto, llenar la calculadora de la EDGE App y subir documentación correspondiente.</t>
  </si>
  <si>
    <t>4.11 EEM07 Green Roof</t>
  </si>
  <si>
    <t>Revisar plano de azotea con especificaciones del techo verde, generar una sección de techo considerando las capas de los materiales, calcular Leaf area Index considerando las copas de los árboles considerados. Llenar apartados en la EDGE App y subir documentación correspondiente.</t>
  </si>
  <si>
    <t>4.12 EEM08* Insulation of Exterior Walls</t>
  </si>
  <si>
    <t>Revisar el plano de especificaciones de sistema constructivo de muros, investigar la ficha técnica del material propuesto, llenar la calculadora de la EDGE App y subir documentación correspondiente.</t>
  </si>
  <si>
    <t>4.13 EEM09* Efficiency of Glass</t>
  </si>
  <si>
    <t>Revisar plano de ventanería para determinar la especificación del cristal, investigar ficha técnica, llenar información en EDGE App y subir documentación correspondiente.</t>
  </si>
  <si>
    <t>4.14 EEM10 Air Infiltration of Envelope</t>
  </si>
  <si>
    <t>Gestionar blower door test para confirmar hermeticidad, documentar planos y detalles arquitectónicos de los componentes a cumplir con la hermeticidad del edificio. Llenar calculadora y apartados en la EDGE App, y subir documentación correspondiente.</t>
  </si>
  <si>
    <t>4.15 EEM11 Natural Ventilation</t>
  </si>
  <si>
    <t>Revisar planos arquitectónicos para verificar proporción de ventanas operables y condiciones de ventilación cruzada. Elaborar diagramas de flujo de aire y cálculo de porcentaje de área operable. Llenar EDGE App y subir planos y diagramas de soporte.</t>
  </si>
  <si>
    <t>4.16 EEM12 Ceiling Fans</t>
  </si>
  <si>
    <t>Revisar planos arquitectónicos y eléctricos para confirmar número y ubicación de ventiladores de techo. Validar fichas técnicas y elaborar cuadro resumen de unidades por tipo de espacio. Llenar EDGE App y subir documentación correspondiente.</t>
  </si>
  <si>
    <t>4.17 EEM13* Cooling System Efficiency</t>
  </si>
  <si>
    <t>Revisar planos de sistema HVAC, revisar eficiencia en fichas técnicas, llenar la calculadora en la EDGE App y subir la documentación correpondiente.</t>
  </si>
  <si>
    <t>4.18 EEM14 Variable Speed Drives</t>
  </si>
  <si>
    <t>Revisar planos de sistemas HVAC para confirmar instalación de variadores de frecuencia en motores. Validar fichas técnicas de los equipos y elaborar cuadro resumen de potencias controladas. Llenar EDGE App y subir documentación correspondiente.</t>
  </si>
  <si>
    <t>4.19 EEM15 Fresh Air Pre-Conditioning System</t>
  </si>
  <si>
    <t>Revisar planos de sistemas de aire acondicionado para confirmar integración de pre-acondicionamiento de aire exterior. Validar fichas técnicas de equipos y elaborar cuadro resumen de capacidad. Llenar EDGE App y subir documentación correspondiente.</t>
  </si>
  <si>
    <t>4.20 EEM16* Space Heating System Efficiency</t>
  </si>
  <si>
    <t>Revisar planos y fichas técnicas de equipos de calefacción para confirmar rendimiento energético. Elaborar cuadro de eficiencias y registrar en EDGE App con documentación de soporte.</t>
  </si>
  <si>
    <t>4.21 EEM17 Room Heating Controls with Thermostatic Valves</t>
  </si>
  <si>
    <t>Revisar planos y especificaciones de controles de calefacción para confirmar instalación de válvulas termostáticas. Validar fichas técnicas y elaborar cuadro resumen de espacios servidos. Llenar EDGE App y subir documentación correspondiente.</t>
  </si>
  <si>
    <t>4.22 EEM18 Domestic Hot Water (DHW) System</t>
  </si>
  <si>
    <t>Revisar planos de sistema de agua caliente, revisar eficiencia en fichas técnicas, llenar la calculadora en la EDGE App y subir la documentación correpondiente.</t>
  </si>
  <si>
    <t>4.23 EEM19 Domestic Hot Water Preheating System</t>
  </si>
  <si>
    <t>Revisar planos y memoria de sistemas de agua caliente para identificar equipos de pre-calentamiento. Validar fichas técnicas y elaborar cuadro resumen de capacidad instalada. Llenar EDGE App y subir documentación correspondiente.</t>
  </si>
  <si>
    <t>4.24 EEM20 Economizers</t>
  </si>
  <si>
    <t>Revisar planos y fichas técnicas de unidades HVAC para confirmar incorporación de economizadores de aire exterior. Elaborar cuadro de equipos con economizador y documentar en EDGE App con soporte gráfico.</t>
  </si>
  <si>
    <t>4.25 EEM21 Demand Control Ventilation Using CO2 Sensors</t>
  </si>
  <si>
    <t>Revisar planos y memoria de ventilación para confirmar ubicación de sensores de CO₂ y su integración con el sistema. Validar fichas técnicas y elaborar cuadro resumen de unidades controladas. Llenar EDGE App y subir documentación correspondiente.</t>
  </si>
  <si>
    <t>4.26 EEM22 Efficient Lighting for Internal Areas</t>
  </si>
  <si>
    <t>Revisar planos de iluminación interior, revisar lumenes por watts de consumo en fichas técnicas, generar una calculadora para determinar eficacia luminosa, llenar apartado en la EDGE App y subir la documentación correpondiente.</t>
  </si>
  <si>
    <t>4.27 EEM23 Efficient Lighting for External Areas</t>
  </si>
  <si>
    <t>Revisar planos de iluminación exterior, revisar lumenes por watts de consumo en fichas técnicas, generar una calculadora para determinar eficacia luminosa, llenar apartado en la EDGE App y subir la documentación correpondiente.</t>
  </si>
  <si>
    <t>4.28 EEM24 Lighting Controls</t>
  </si>
  <si>
    <t>Revisar planos de iluminación, revisar cumplimiento de los sensores de iluminación, investigar fichas técnicas, llenar apartado en la EDGE App y subir la documentación correpondiente.</t>
  </si>
  <si>
    <t>4.29 EEM25 Skylights</t>
  </si>
  <si>
    <t>Revisar planos y dimensiones de los skylights para sacar áreas de iluminación natural, revisar fichas técnicas de los cristales, incorporar planos de iluminación con los sensores de luz diurna, llenar apartado en EDGE APP y subir documentación correspondiente.</t>
  </si>
  <si>
    <t>4.30 EEM26 Demand Control Ventilation for Parking Using CO2 Sensors</t>
  </si>
  <si>
    <t>Revisar planos de ventilación de estacionamientos para confirmar ubicación de sensores de CO₂. Validar fichas técnicas, elaborar cuadro resumen de equipos controlados, llenar EDGE App y subir documentación correspondiente.</t>
  </si>
  <si>
    <t>4.31 EEM27* Insulation for Cold Storage Envelope</t>
  </si>
  <si>
    <t>Revisar planos arquitectónicos de cámaras de refrigeración, validar espesores y materiales de aislamiento en fichas técnicas. Elaborar cuadro resumen de conductividades y registrar en EDGE App con documentación de soporte.</t>
  </si>
  <si>
    <t>4.32 EEM28 Efficient Refrigeration for Cold Storage</t>
  </si>
  <si>
    <t>Revisar planos y memoria de refrigeración para confirmar equipos de alta eficiencia en cámaras frías. Validar fichas técnicas, elaborar cuadro comparativo de consumos y registrar en EDGE App con documentación de respaldo.</t>
  </si>
  <si>
    <t>4.33 EEM29 Efficient Refrigerators and Clothes Washing Machines</t>
  </si>
  <si>
    <t>Revisar planos de equipamiento, validar fichas técnicas de refrigeradores y lavadoras para confirmar eficiencia. Elaborar cuadro resumen de unidades y consumos, llenar EDGE App y subir documentación correspondiente.</t>
  </si>
  <si>
    <t>4.34 EEM30 Submeters for Heating and/or Cooling Systems</t>
  </si>
  <si>
    <t>Revisar planos y memoria de instalaciones para confirmar instalación de submedidores en sistemas de climatización. Validar fichas técnicas, elaborar cuadro de ubicación y registrar en EDGE App con soporte gráfico.</t>
  </si>
  <si>
    <t>4.35 EEM31 Smart Meters for Energy</t>
  </si>
  <si>
    <t>Revisar especificaciones y fichas técnicas de los medidores inteligentes, revisar diagramas de ubicación, generar documentación de respaldo, llenar apartado en EDGE APP y subir documentación correspondiente.</t>
  </si>
  <si>
    <t>4.36 EEM32 Power Factor Corrections</t>
  </si>
  <si>
    <t>Revisar planos eléctricos y unifilares para confirmar bancos de capacitores y su capacidad (kVAr) por tablero. Validar fichas técnicas y esquema de control/etapas. Elaborar cuadro con factor de potencia base vs. corregido y equipos atendidos. Llenar EDGE App y subir planos, fichas y memoria de cálculo como soporte.</t>
  </si>
  <si>
    <t>4.37 EEM33 On-site Renewable Energy</t>
  </si>
  <si>
    <t>Revisar planos, memoria de cálculo y especificaciones de los paneles fotovoltaicos, resaltar en planos información para el revisor, llenar apartado en EDGE APP y subir documentación correspondiente.</t>
  </si>
  <si>
    <t>4.38 EEM34 Aditional Energy Saving Measures</t>
  </si>
  <si>
    <t>Revisar memoria de proyecto para identificar medidas adicionales de ahorro energético implementadas. Validar fichas técnicas o reportes de respaldo, elaborar cuadro resumen y documentar en EDGE App.</t>
  </si>
  <si>
    <t>4.39 EEM35 Offsite Renewable Energy Procurement</t>
  </si>
  <si>
    <t>Revisar contratos o certificaciones de energía renovable adquirida fuera del sitio. Documentar porcentaje de cobertura energética y subir respaldo en EDGE App.</t>
  </si>
  <si>
    <t>4.40 EEM36 Carbon Offset</t>
  </si>
  <si>
    <t>Revisar documentación de compra de bonos de carbono. Validar certificaciones de proveedores y elaborar cuadro resumen de emisiones compensadas. Registrar en EDGE App con soporte documental.</t>
  </si>
  <si>
    <t>4.41 EEM37 Low Impact Refrigerants</t>
  </si>
  <si>
    <t>Revisar fichas técnicas de equipos de refrigeración para confirmar uso de refrigerantes de bajo GWP/ODP. Elaborar cuadro resumen de cargas de refrigerante por equipo y documentar en EDGE App con soporte técnico.</t>
  </si>
  <si>
    <t>4.42 WEM01 Water-efficient Showerheads</t>
  </si>
  <si>
    <t>Revisar planos hidrosanitarios, investigar ficha técnica de la regadera, ingresar consumo en EDGE APP, y subir documentación correpondiente.</t>
  </si>
  <si>
    <t>4.43 WEM02* Water-efficient Faucets for all Bathrooms</t>
  </si>
  <si>
    <t>Revisar planos hidrosanitarios, investigar ficha técnica de monomandos de baño, ingresar consumo en EDGE APP, y subir documentación correpondiente.</t>
  </si>
  <si>
    <t>4.44 WEM03* Water-efficient Faucets for Public Bathrooms</t>
  </si>
  <si>
    <t>4.45 WEM04* Efficient Water Closets for All Bathrooms</t>
  </si>
  <si>
    <t>Revisar planos hidrosanitarios, investigar ficha técnica del WC, ingresar consumo en EDGE APP, y subir documentación correpondiente.</t>
  </si>
  <si>
    <t>4.46 WEM05* Efficient Water Closets for Public Bathrooms</t>
  </si>
  <si>
    <t>4.47 WEM06 Water-efficient Bidet</t>
  </si>
  <si>
    <t>Revisar planos hidrosanitarios, investigar ficha técnica del bidet, ingresar consumo en EDGE APP, y subir documentación correpondiente.</t>
  </si>
  <si>
    <t>4.48 WEM07 Water-efficient Urinals</t>
  </si>
  <si>
    <t>Revisar planos hidrosanitarios, investigar ficha técnica del mingitorio, ingresar consumo en EDGE APP, y subir documentación correpondiente.</t>
  </si>
  <si>
    <t>4.49 WEM08* Water-efficient Faucets for Kitchen Sinks</t>
  </si>
  <si>
    <t>Revisar planos hidrosanitarios, investigar ficha técnica de la llave de cocina, ingresar consumo en EDGE APP, y subir documentación correpondiente.</t>
  </si>
  <si>
    <t>4.50 WEM09 Water-efficient Dish-Washer</t>
  </si>
  <si>
    <t>Revisar planos de cocina para confirmar ubicación y cantidad de lavavajillas. Validar fichas técnicas (consumo por ciclo/eficiencia) y elaborar cuadro resumen de equipos. Ingresar datos en EDGE App y subir documentación correspondiente.</t>
  </si>
  <si>
    <t>4.51 WEM10 Water-efficient Pre-rinse Spray Valves for Kitchen</t>
  </si>
  <si>
    <t>Revisar planos hidrosanitarios, investigar ficha técnica de la llave de preenjuague, ingresar consumo en EDGE APP, y subir documentación correpondiente.</t>
  </si>
  <si>
    <t>4.52 WEM11 Water-efficient Washing Machines</t>
  </si>
  <si>
    <t>Revisar planos de lavandería para confirmar cantidad y ubicación de lavadoras. Validar fichas técnicas (consumo por ciclo y eficiencia). Elaborar cuadro resumen de equipos, llenar EDGE App y subir documentación correspondiente.</t>
  </si>
  <si>
    <t>4.53 WEM12 Swimming Pool Covers</t>
  </si>
  <si>
    <t>Revisar planos de alberca para confirmar cubiertas en todas las piscinas, validar fichas técnicas de las cubiertas, elaborar cuadro resumen de dimensiones, ingresar información en EDGE App y subir documentación correspondiente.</t>
  </si>
  <si>
    <t>4.54 WEM13 Water-efficient Lanscape Irrigation System</t>
  </si>
  <si>
    <t>Revisar planos de riego y memoria técnica para confirmar sistema eficiente (goteo, sensores o control automatizado). Validar fichas técnicas de equipos de riego y elaborar cuadro resumen. Ingresar datos en EDGE App y subir documentación correspondiente.</t>
  </si>
  <si>
    <t>4.55 WEM14 Rainwater Harvesting System</t>
  </si>
  <si>
    <t>Revisar planos hidrosanitarios y memoria de sistema de captación pluvial, validar especificaciones de almacenamiento y bombeo, ingresar datos en EDGE App y subir documentación de soporte.</t>
  </si>
  <si>
    <t>4.56 WEM15 Waste Water Treatment and Recycling System</t>
  </si>
  <si>
    <t>Revisar planos y especificaciones de planta de tratamiento, subir documentación correpondiente.</t>
  </si>
  <si>
    <t>4.57 WEM16 Condensate Water Recovery</t>
  </si>
  <si>
    <t>Revisar planos mecánicos para identificar recuperación de condensados de equipos HVAC. Validar especificaciones de tuberías, tanques y bombeo. Elaborar cuadro de volúmenes estimados, ingresar datos en EDGE App y subir documentación de soporte.</t>
  </si>
  <si>
    <t>4.58 WEM17 Smart Meters for Water</t>
  </si>
  <si>
    <t>Revisar planos hidrosanitarios y eléctricos para confirmar ubicación y cantidad de medidores inteligentes de agua. Validar fichas técnicas (telemetría, precisión y control). Elaborar cuadro resumen de medidores, ingresar información en EDGE App y subir documentación correspondiente.</t>
  </si>
  <si>
    <t>4.59 WEM18 Aditional Water Saving Measures</t>
  </si>
  <si>
    <t>Revisar planos y memoria técnica para confirmar medidas adicionales de ahorro de agua (ej. aireadores, reutilización puntual o tecnologías innovadoras). Validar fichas técnicas y elaborar cuadro de impacto estimado. Ingresar datos en EDGE App y subir documentación de soporte.</t>
  </si>
  <si>
    <t>4.60 MEM01* Bottom Floor Construction</t>
  </si>
  <si>
    <t>Revisar planos de sistema constructivo, calcular proporción de sistemas utilizados si son más de 2, ingresar datos de espesor, tipo de sistema, steel rebar en EDGE App y subir documentación correspondiente.</t>
  </si>
  <si>
    <t>4.61 MEM02* Intermediate Floor Construction</t>
  </si>
  <si>
    <t>4.62 MEM03*Floor Finish</t>
  </si>
  <si>
    <t>Revisar planos de acabado del techo, calcular proporción de materiales si son más de 2, ingresar datos de espesor, porcentaje y tipo de material en EDGE App y subir documentación correspondiente.</t>
  </si>
  <si>
    <t>4.63 MEM04* Roof Construction</t>
  </si>
  <si>
    <t>4.64 MEM05* Exterior Walls</t>
  </si>
  <si>
    <t>Revisar planos de sistema constructivo de muros exteriores, calcular proporción de materiales utilizados, si son más de 2; ingresar datos de espesor, tipo de material y proporción en EDGE App, subir documentación correspondiente.</t>
  </si>
  <si>
    <t>4.65 MEM06* Interior Walls</t>
  </si>
  <si>
    <t>Revisar planos de sistema constructivo de muros interiores, calcular proporción de materiales utilizados, si son más de 2; ingresar datos de espesor, tipo de material y proporción en EDGE App, subir documentación correspondiente.</t>
  </si>
  <si>
    <t>4.66 MEM07* Window Frames</t>
  </si>
  <si>
    <t>Revisar planos de ventanería, ingresar tipo de material en EDGE App y subir documentación correspondiente.</t>
  </si>
  <si>
    <t>4.67 MEM08* Window Glazing</t>
  </si>
  <si>
    <t>Revisar planos de ventanería, investigar ficha técnica del vidrio, ingresar tipo de vidrio en EDGE App y subir documentación correspondiente.</t>
  </si>
  <si>
    <t>4.68 MEM09* Roof insulation</t>
  </si>
  <si>
    <t>Revisar planos de especificaciones de techo, calcular proporción de materiales utilizados si son más de 2, ingresar datos de espesor y tipo de aislamiento en EDGE App y subir documentación correspondiente.</t>
  </si>
  <si>
    <t>4.69 MEM10* Wall insulation</t>
  </si>
  <si>
    <t>Revisar planos de especificaciones de muro, calcular proporción de materiales utilizados si son más de 2, ingresar datos de espesor y tipo de aislamiento en EDGE App y subir documentación correspondiente.</t>
  </si>
  <si>
    <t>4.70 MEM11*Floor insulation</t>
  </si>
  <si>
    <t>Revisar planos de especificaciones de piso, calcular proporción de materiales utilizados si son más de 2, ingresar datos de espesor y tipo de aislamiento en EDGE App y subir documentación correspondiente.</t>
  </si>
  <si>
    <t>5. EDGE Auditor Diseño</t>
  </si>
  <si>
    <t>5.1 Revisión preliminar EDGE Auditor</t>
  </si>
  <si>
    <t>Descargar la documentación ingresada en la plataforma. Validar el cumplimiento de los requisitos por cada una de las estrategias y comparar que la información sea consistente con lo ingresado en la plataforma EDGE.</t>
  </si>
  <si>
    <t>5.2 Reporte y validación para certificación preliminar</t>
  </si>
  <si>
    <t>Revisar la documentación, emitir observaciones y solicitar ajustes si no se cumplen los requisitos. Una vez que el proyecto cumpla con todas las estrategias, enviarlo al GBCI para su revisión y certificación preliminar.</t>
  </si>
  <si>
    <t>6. EDGE Expert: Correcciones Diseño</t>
  </si>
  <si>
    <t>6.1 Descarga de observaciones del auditor</t>
  </si>
  <si>
    <t>Descargar los comentarios del Auditor, revisar si se deben realizar ajustes a algunas estrategias para aprobación, corregir estrategias, actualizar información y documentación en EDGE APP.</t>
  </si>
  <si>
    <t>6.2 Preparación de respuestas técnicas</t>
  </si>
  <si>
    <t>Generar narrativas de respuesta y aclaración para los comentarios del revisor, proporcionar documentación de validación preliminar.</t>
  </si>
  <si>
    <t>6.3 Subida de correcciones</t>
  </si>
  <si>
    <t>Subir información a cada una de las estrategias observadas, enviar de nuevo el proyecto a revisión y esperar el certificado preliminar.</t>
  </si>
  <si>
    <t xml:space="preserve">7. EDGE Expert: Documentación Construcción </t>
  </si>
  <si>
    <t>7.1 Preparación de narrativas y justificaciones</t>
  </si>
  <si>
    <t>Preparar narrativas para cada una de las estrategias perseguidas las cuales se apoyarán en la documentación de reportes fotográficos y facturas del proceso constructivo.</t>
  </si>
  <si>
    <t>7.2 Recopilación de fotos y facturas</t>
  </si>
  <si>
    <t>Seguimiento y recopilación de fotos y facturas durante la etapa de construcción, organizar información en formato oficial.</t>
  </si>
  <si>
    <t>7.3 Validación técnica contra medidas EDGE</t>
  </si>
  <si>
    <t>Revisión de información compartida, generación de issues log con faltantes.</t>
  </si>
  <si>
    <t>7.4 Carga y etiquetado en EDGE App</t>
  </si>
  <si>
    <t>Organizar y subir por estrategia la documentación correspondiente.</t>
  </si>
  <si>
    <t>8. EDGE Auditor Construcción</t>
  </si>
  <si>
    <t>8.1 Revisión final EDGE Auditor</t>
  </si>
  <si>
    <t xml:space="preserve">Preparar auditoría en sitio: coordinar la visita al proyecto con el equipo, hacer una revisión preliminar de la documentación enviada a través de la plataforma y preparar el material necesario para la visita.
</t>
  </si>
  <si>
    <t>8.2 Reporte y validación para certificación</t>
  </si>
  <si>
    <t>Realizar la auditoría en sitio para verificar las estrategias implementadas, emitir observaciones y solicitar ajustes en la documentación si es necesario. Una vez que el proyecto cumpla con todos los requisitos, enviarlo al GBCI para su revisión y certificación.</t>
  </si>
  <si>
    <t xml:space="preserve">9. EDGE Expert: Correcciones Construcción </t>
  </si>
  <si>
    <t>9.1 Descarga de observaciones del auditor</t>
  </si>
  <si>
    <t>Descargar los comentarios finales del Auditor, revisar si se deben realizar ajustes a algunas estrategias para aprobación final, corregir estrategias, actualizar información y documentación en EDGE APP.</t>
  </si>
  <si>
    <t>9.2 Preparación de respuestas técnicas</t>
  </si>
  <si>
    <t>Generar narrativas de respuesta y aclaración para los comentarios del revisor, proporcionar documentación de validación final.</t>
  </si>
  <si>
    <t>9.3 Subida de correcciones</t>
  </si>
  <si>
    <t>Subir información a cada una de las estrategias observadas, enviar el proyecto a revisión final y esperar el certificado final.</t>
  </si>
  <si>
    <t>10. Cierre de proyecto</t>
  </si>
  <si>
    <t>10.1 Entrega de resumen y cierre</t>
  </si>
  <si>
    <t>Compartir al cliente el certificado de su proyecto, adjuntar un press realease y un book de cierre del proyecto. Apoyar en la solicitud de la placa EDGE.</t>
  </si>
  <si>
    <t>Atender reuniones con el cliente</t>
  </si>
  <si>
    <t>2. EDGE Expert: Diseño Integrado</t>
  </si>
  <si>
    <t>4.1 Alta del proyecto en EDGE APP y verificación de versión</t>
  </si>
  <si>
    <t>7. EDGE Expert: Documentación Construcción</t>
  </si>
  <si>
    <t>9. EDGE Expert: Correcciones Construcción</t>
  </si>
  <si>
    <t>ID Etapa</t>
  </si>
  <si>
    <t>Orden</t>
  </si>
  <si>
    <t>Etapa</t>
  </si>
  <si>
    <t>Abreviatura</t>
  </si>
  <si>
    <t>Carga en Smart Suite</t>
  </si>
  <si>
    <t>CSS</t>
  </si>
  <si>
    <t>Seguimiento</t>
  </si>
  <si>
    <t>SEGI</t>
  </si>
  <si>
    <t xml:space="preserve">EDGE Expert: Diseño Integrado </t>
  </si>
  <si>
    <t>EEDis</t>
  </si>
  <si>
    <t>EDGE Expert: Seguimiento</t>
  </si>
  <si>
    <t>EESeg</t>
  </si>
  <si>
    <t>EDGE Expert: Documentación Diseño</t>
  </si>
  <si>
    <t>EEDDis</t>
  </si>
  <si>
    <t>EDGE Auditor Diseño</t>
  </si>
  <si>
    <t>EEAudD</t>
  </si>
  <si>
    <t>EDGE Expert: Correcciones Diseño</t>
  </si>
  <si>
    <t>EECorrD</t>
  </si>
  <si>
    <t xml:space="preserve">EDGE Expert: Documentación Construcción </t>
  </si>
  <si>
    <t>EEDCon</t>
  </si>
  <si>
    <t>EDGE Auditor Construcción</t>
  </si>
  <si>
    <t>EAuditC</t>
  </si>
  <si>
    <t xml:space="preserve">EDGE Expert: Correcciones Construcción </t>
  </si>
  <si>
    <t>EECorrC</t>
  </si>
  <si>
    <t>Cierre de proyecto</t>
  </si>
  <si>
    <t>CP</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</si>
</sst>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0.0"/>
  </numFmts>
  <fonts count="9">
    <font>
      <sz val="11.0"/>
      <color theme="1"/>
      <name val="Calibri"/>
      <scheme val="minor"/>
    </font>
    <font>
      <sz val="11.0"/>
      <color theme="1"/>
      <name val="Calibri"/>
    </font>
    <font>
      <b/>
      <sz val="13.0"/>
      <color rgb="FF3C78D8"/>
      <name val="Montserrat"/>
    </font>
    <font>
      <b/>
      <sz val="13.0"/>
      <color theme="1"/>
      <name val="Montserrat"/>
    </font>
    <font>
      <sz val="13.0"/>
      <color theme="1"/>
      <name val="Montserrat"/>
    </font>
    <font>
      <u/>
      <sz val="13.0"/>
      <color rgb="FF0000FF"/>
      <name val="Montserrat"/>
    </font>
    <font>
      <b/>
      <sz val="12.0"/>
      <color theme="1"/>
      <name val="Calibri"/>
    </font>
    <font>
      <b/>
      <sz val="11.0"/>
      <color theme="1"/>
      <name val="Calibri"/>
    </font>
    <font>
      <sz val="11.0"/>
      <color rgb="FFE06666"/>
      <name val="Calibri"/>
    </font>
  </fonts>
  <fills count="17">
    <fill>
      <patternFill patternType="none"/>
    </fill>
    <fill>
      <patternFill patternType="lightGray"/>
    </fill>
    <fill>
      <patternFill patternType="solid">
        <fgColor rgb="FF8DB3E2"/>
        <bgColor rgb="FF8DB3E2"/>
      </patternFill>
    </fill>
    <fill>
      <patternFill patternType="solid">
        <fgColor rgb="FFB6D7A8"/>
        <bgColor rgb="FFB6D7A8"/>
      </patternFill>
    </fill>
    <fill>
      <patternFill patternType="solid">
        <fgColor rgb="FFEAD1DC"/>
        <bgColor rgb="FFEAD1DC"/>
      </patternFill>
    </fill>
    <fill>
      <patternFill patternType="solid">
        <fgColor rgb="FFB4A7D6"/>
        <bgColor rgb="FFB4A7D6"/>
      </patternFill>
    </fill>
    <fill>
      <patternFill patternType="solid">
        <fgColor rgb="FF93C47D"/>
        <bgColor rgb="FF93C47D"/>
      </patternFill>
    </fill>
    <fill>
      <patternFill patternType="solid">
        <fgColor rgb="FFFFF2CC"/>
        <bgColor rgb="FFFFF2CC"/>
      </patternFill>
    </fill>
    <fill>
      <patternFill patternType="solid">
        <fgColor rgb="FFD9EAD3"/>
        <bgColor rgb="FFD9EAD3"/>
      </patternFill>
    </fill>
    <fill>
      <patternFill patternType="solid">
        <fgColor rgb="FFF4E6EC"/>
        <bgColor rgb="FFF4E6EC"/>
      </patternFill>
    </fill>
    <fill>
      <patternFill patternType="solid">
        <fgColor rgb="FFD9D2E9"/>
        <bgColor rgb="FFD9D2E9"/>
      </patternFill>
    </fill>
    <fill>
      <patternFill patternType="solid">
        <fgColor rgb="FFD8D8D8"/>
        <bgColor rgb="FFD8D8D8"/>
      </patternFill>
    </fill>
    <fill>
      <patternFill patternType="solid">
        <fgColor rgb="FFF2F2F2"/>
        <bgColor rgb="FFF2F2F2"/>
      </patternFill>
    </fill>
    <fill>
      <patternFill patternType="solid">
        <fgColor rgb="FFF3F3F3"/>
        <bgColor rgb="FFF3F3F3"/>
      </patternFill>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s>
  <borders count="16">
    <border/>
    <border>
      <left style="thin">
        <color rgb="FF000000"/>
      </left>
      <right style="thin">
        <color rgb="FF000000"/>
      </right>
      <top style="thin">
        <color rgb="FF000000"/>
      </top>
      <bottom style="thin">
        <color rgb="FF000000"/>
      </bottom>
    </border>
    <border>
      <top style="thin">
        <color rgb="FF000000"/>
      </top>
    </border>
    <border>
      <left/>
      <right/>
      <top/>
      <bottom/>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FFFFF"/>
      </right>
      <top style="thin">
        <color rgb="FFFFFFFF"/>
      </top>
      <bottom style="thin">
        <color rgb="FF284E3F"/>
      </bottom>
    </border>
    <border>
      <left style="thin">
        <color rgb="FFFFFFFF"/>
      </left>
      <right style="thin">
        <color rgb="FFFFFFFF"/>
      </right>
      <top style="thin">
        <color rgb="FFFFFFFF"/>
      </top>
      <bottom style="thin">
        <color rgb="FF284E3F"/>
      </bottom>
    </border>
    <border>
      <left style="thin">
        <color rgb="FFFFFFFF"/>
      </left>
      <right style="thin">
        <color rgb="FF284E3F"/>
      </right>
      <top style="thin">
        <color rgb="FFFFFFFF"/>
      </top>
      <bottom style="thin">
        <color rgb="FF284E3F"/>
      </bottom>
    </border>
  </borders>
  <cellStyleXfs count="1">
    <xf borderId="0" fillId="0" fontId="0" numFmtId="0" applyAlignment="1" applyFont="1"/>
  </cellStyleXfs>
  <cellXfs count="68">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vertical="bottom"/>
    </xf>
    <xf borderId="0" fillId="0" fontId="4" numFmtId="0" xfId="0" applyAlignment="1" applyFont="1">
      <alignment vertical="bottom"/>
    </xf>
    <xf borderId="0" fillId="0" fontId="5" numFmtId="0" xfId="0" applyAlignment="1" applyFont="1">
      <alignment vertical="bottom"/>
    </xf>
    <xf borderId="0" fillId="2" fontId="6" numFmtId="0" xfId="0" applyAlignment="1" applyFill="1" applyFont="1">
      <alignment horizontal="center"/>
    </xf>
    <xf borderId="0" fillId="2" fontId="1" numFmtId="0" xfId="0" applyFont="1"/>
    <xf borderId="0" fillId="2" fontId="7" numFmtId="164" xfId="0" applyAlignment="1" applyFont="1" applyNumberFormat="1">
      <alignment horizontal="center"/>
    </xf>
    <xf borderId="0" fillId="2" fontId="1" numFmtId="164" xfId="0" applyFont="1" applyNumberFormat="1"/>
    <xf borderId="0" fillId="3" fontId="1" numFmtId="0" xfId="0" applyFill="1" applyFont="1"/>
    <xf borderId="0" fillId="3" fontId="1" numFmtId="0" xfId="0" applyAlignment="1" applyFont="1">
      <alignment horizontal="center"/>
    </xf>
    <xf borderId="0" fillId="4" fontId="7" numFmtId="0" xfId="0" applyAlignment="1" applyFill="1" applyFont="1">
      <alignment horizontal="center"/>
    </xf>
    <xf borderId="0" fillId="5" fontId="7" numFmtId="0" xfId="0" applyAlignment="1" applyFill="1" applyFont="1">
      <alignment horizontal="center" shrinkToFit="0" wrapText="1"/>
    </xf>
    <xf borderId="1" fillId="2" fontId="7" numFmtId="0" xfId="0" applyAlignment="1" applyBorder="1" applyFont="1">
      <alignment horizontal="center"/>
    </xf>
    <xf borderId="1" fillId="2" fontId="7" numFmtId="0" xfId="0" applyAlignment="1" applyBorder="1" applyFont="1">
      <alignment horizontal="center" shrinkToFit="0" wrapText="1"/>
    </xf>
    <xf borderId="1" fillId="2" fontId="7" numFmtId="164" xfId="0" applyAlignment="1" applyBorder="1" applyFont="1" applyNumberFormat="1">
      <alignment horizontal="center" shrinkToFit="0" wrapText="1"/>
    </xf>
    <xf borderId="1" fillId="6" fontId="7" numFmtId="0" xfId="0" applyAlignment="1" applyBorder="1" applyFill="1" applyFont="1">
      <alignment horizontal="center" shrinkToFit="0" wrapText="1"/>
    </xf>
    <xf borderId="1" fillId="6" fontId="7" numFmtId="0" xfId="0" applyAlignment="1" applyBorder="1" applyFont="1">
      <alignment horizontal="center" shrinkToFit="0" wrapText="1"/>
    </xf>
    <xf borderId="1" fillId="4" fontId="7" numFmtId="0" xfId="0" applyAlignment="1" applyBorder="1" applyFont="1">
      <alignment horizontal="center" shrinkToFit="0" wrapText="1"/>
    </xf>
    <xf borderId="2" fillId="0" fontId="7" numFmtId="0" xfId="0" applyAlignment="1" applyBorder="1" applyFont="1">
      <alignment horizontal="center"/>
    </xf>
    <xf borderId="0" fillId="0" fontId="1" numFmtId="0" xfId="0" applyFont="1"/>
    <xf borderId="0" fillId="0" fontId="1" numFmtId="0" xfId="0" applyAlignment="1" applyFont="1">
      <alignment horizontal="center"/>
    </xf>
    <xf borderId="0" fillId="7" fontId="1" numFmtId="0" xfId="0" applyAlignment="1" applyFill="1" applyFont="1">
      <alignment horizontal="center"/>
    </xf>
    <xf borderId="0" fillId="0" fontId="1" numFmtId="164" xfId="0" applyAlignment="1" applyFont="1" applyNumberFormat="1">
      <alignment horizontal="center"/>
    </xf>
    <xf borderId="0" fillId="0" fontId="1" numFmtId="0" xfId="0" applyAlignment="1" applyFont="1">
      <alignment shrinkToFit="0" wrapText="1"/>
    </xf>
    <xf borderId="0" fillId="8" fontId="1" numFmtId="0" xfId="0" applyAlignment="1" applyFill="1" applyFont="1">
      <alignment horizontal="center"/>
    </xf>
    <xf borderId="0" fillId="9" fontId="1" numFmtId="0" xfId="0" applyAlignment="1" applyFill="1" applyFont="1">
      <alignment horizontal="center"/>
    </xf>
    <xf borderId="0" fillId="10" fontId="1" numFmtId="0" xfId="0" applyAlignment="1" applyFill="1" applyFont="1">
      <alignment horizontal="center"/>
    </xf>
    <xf borderId="0" fillId="0" fontId="7" numFmtId="0" xfId="0" applyAlignment="1" applyFont="1">
      <alignment horizontal="center"/>
    </xf>
    <xf borderId="0" fillId="0" fontId="7" numFmtId="0" xfId="0" applyAlignment="1" applyFont="1">
      <alignment horizontal="center" shrinkToFit="0" wrapText="1"/>
    </xf>
    <xf borderId="3" fillId="11" fontId="7" numFmtId="0" xfId="0" applyBorder="1" applyFill="1" applyFont="1"/>
    <xf borderId="3" fillId="12" fontId="1" numFmtId="0" xfId="0" applyBorder="1" applyFill="1" applyFont="1"/>
    <xf borderId="3" fillId="12" fontId="8" numFmtId="0" xfId="0" applyBorder="1" applyFont="1"/>
    <xf borderId="0" fillId="13" fontId="1" numFmtId="0" xfId="0" applyFill="1" applyFont="1"/>
    <xf borderId="0" fillId="0" fontId="1" numFmtId="164" xfId="0" applyFont="1" applyNumberFormat="1"/>
    <xf borderId="0" fillId="8" fontId="7" numFmtId="0" xfId="0" applyAlignment="1" applyFont="1">
      <alignment horizontal="center"/>
    </xf>
    <xf borderId="0" fillId="9" fontId="7" numFmtId="0" xfId="0" applyAlignment="1" applyFont="1">
      <alignment horizontal="center"/>
    </xf>
    <xf borderId="0" fillId="10" fontId="7" numFmtId="0" xfId="0" applyAlignment="1" applyFont="1">
      <alignment horizontal="center"/>
    </xf>
    <xf borderId="0" fillId="0" fontId="7" numFmtId="0" xfId="0" applyAlignment="1" applyFont="1">
      <alignment readingOrder="0"/>
    </xf>
    <xf borderId="0" fillId="0" fontId="7" numFmtId="165" xfId="0" applyAlignment="1" applyFont="1" applyNumberFormat="1">
      <alignment readingOrder="0"/>
    </xf>
    <xf borderId="0" fillId="0" fontId="7" numFmtId="0" xfId="0" applyAlignment="1" applyFont="1">
      <alignment readingOrder="0" shrinkToFit="0" wrapText="1"/>
    </xf>
    <xf borderId="0" fillId="0" fontId="7" numFmtId="0" xfId="0" applyAlignment="1" applyFont="1">
      <alignment horizontal="center" readingOrder="0"/>
    </xf>
    <xf borderId="0" fillId="0" fontId="7" numFmtId="0" xfId="0" applyAlignment="1" applyFont="1">
      <alignment horizontal="center" readingOrder="0" shrinkToFit="0" wrapText="1"/>
    </xf>
    <xf borderId="0" fillId="0" fontId="1" numFmtId="0" xfId="0" applyAlignment="1" applyFont="1">
      <alignment readingOrder="0"/>
    </xf>
    <xf borderId="0" fillId="0" fontId="1" numFmtId="0" xfId="0" applyAlignment="1" applyFont="1">
      <alignment readingOrder="0" shrinkToFit="0" wrapText="1"/>
    </xf>
    <xf borderId="0" fillId="0" fontId="1" numFmtId="165" xfId="0" applyAlignment="1" applyFont="1" applyNumberFormat="1">
      <alignment readingOrder="0" shrinkToFit="0" wrapText="1"/>
    </xf>
    <xf borderId="0" fillId="0" fontId="1" numFmtId="164" xfId="0" applyAlignment="1" applyFont="1" applyNumberFormat="1">
      <alignment readingOrder="0" shrinkToFit="0" wrapText="1"/>
    </xf>
    <xf borderId="0" fillId="0" fontId="1" numFmtId="0" xfId="0" applyAlignment="1" applyFont="1">
      <alignment horizontal="center" readingOrder="0" shrinkToFit="0" wrapText="1"/>
    </xf>
    <xf borderId="0" fillId="0" fontId="1" numFmtId="165" xfId="0" applyAlignment="1" applyFont="1" applyNumberFormat="1">
      <alignment readingOrder="0"/>
    </xf>
    <xf borderId="0" fillId="0" fontId="1" numFmtId="164" xfId="0" applyAlignment="1" applyFont="1" applyNumberFormat="1">
      <alignment readingOrder="0"/>
    </xf>
    <xf borderId="0" fillId="0" fontId="1" numFmtId="0" xfId="0" applyAlignment="1" applyFont="1">
      <alignment horizontal="center" readingOrder="0"/>
    </xf>
    <xf borderId="4" fillId="14" fontId="7" numFmtId="0" xfId="0" applyBorder="1" applyFill="1" applyFont="1"/>
    <xf borderId="5" fillId="14" fontId="7" numFmtId="0" xfId="0" applyBorder="1" applyFont="1"/>
    <xf borderId="6" fillId="14" fontId="7" numFmtId="0" xfId="0" applyBorder="1" applyFont="1"/>
    <xf borderId="7" fillId="15" fontId="1" numFmtId="0" xfId="0" applyBorder="1" applyFill="1" applyFont="1"/>
    <xf borderId="8" fillId="15" fontId="1" numFmtId="4" xfId="0" applyAlignment="1" applyBorder="1" applyFont="1" applyNumberFormat="1">
      <alignment horizontal="right"/>
    </xf>
    <xf borderId="8" fillId="15" fontId="1" numFmtId="0" xfId="0" applyBorder="1" applyFont="1"/>
    <xf borderId="9" fillId="15" fontId="1" numFmtId="0" xfId="0" applyBorder="1" applyFont="1"/>
    <xf borderId="10" fillId="16" fontId="1" numFmtId="0" xfId="0" applyBorder="1" applyFill="1" applyFont="1"/>
    <xf borderId="11" fillId="16" fontId="1" numFmtId="4" xfId="0" applyAlignment="1" applyBorder="1" applyFont="1" applyNumberFormat="1">
      <alignment horizontal="right"/>
    </xf>
    <xf borderId="11" fillId="16" fontId="1" numFmtId="0" xfId="0" applyBorder="1" applyFont="1"/>
    <xf borderId="12" fillId="16" fontId="1" numFmtId="0" xfId="0" applyBorder="1" applyFont="1"/>
    <xf borderId="13" fillId="15" fontId="1" numFmtId="0" xfId="0" applyBorder="1" applyFont="1"/>
    <xf borderId="14" fillId="15" fontId="1" numFmtId="4" xfId="0" applyAlignment="1" applyBorder="1" applyFont="1" applyNumberFormat="1">
      <alignment horizontal="right"/>
    </xf>
    <xf borderId="14" fillId="15" fontId="1" numFmtId="0" xfId="0" applyBorder="1" applyFont="1"/>
    <xf borderId="15" fillId="15" fontId="1" numFmtId="0" xfId="0" applyBorder="1" applyFont="1"/>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1">
    <tableStyle count="3" pivot="0" name="Hoja 2-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B3:E14" displayName="Table_1" name="Table_1" id="1">
  <tableColumns count="4">
    <tableColumn name="ID Etapa" id="1"/>
    <tableColumn name="Orden" id="2"/>
    <tableColumn name="Etapa" id="3"/>
    <tableColumn name="Abreviatura" id="4"/>
  </tableColumns>
  <tableStyleInfo name="Hoja 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presentation/d/1OQZlqmQlmBAlfcoZvuEnnVHaTvjGxFulqUgdEOGrivM/edit?usp=sharin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1" width="16.0"/>
    <col customWidth="1" min="12" max="26" width="8.71"/>
  </cols>
  <sheetData>
    <row r="1">
      <c r="A1" s="1"/>
      <c r="B1" s="2"/>
      <c r="C1" s="2"/>
      <c r="D1" s="2"/>
      <c r="E1" s="2"/>
      <c r="F1" s="2"/>
      <c r="G1" s="2"/>
      <c r="H1" s="2"/>
      <c r="I1" s="2"/>
      <c r="J1" s="2"/>
      <c r="K1" s="2"/>
      <c r="L1" s="1"/>
      <c r="M1" s="1"/>
      <c r="N1" s="1"/>
      <c r="O1" s="1"/>
      <c r="P1" s="1"/>
      <c r="Q1" s="1"/>
      <c r="R1" s="1"/>
      <c r="S1" s="1"/>
      <c r="T1" s="1"/>
      <c r="U1" s="1"/>
      <c r="V1" s="1"/>
      <c r="W1" s="1"/>
      <c r="X1" s="1"/>
      <c r="Y1" s="1"/>
      <c r="Z1" s="1"/>
    </row>
    <row r="2">
      <c r="A2" s="2"/>
      <c r="B2" s="2"/>
      <c r="C2" s="2"/>
      <c r="D2" s="2"/>
      <c r="E2" s="2"/>
      <c r="F2" s="2"/>
      <c r="G2" s="2"/>
      <c r="H2" s="2"/>
      <c r="I2" s="2"/>
      <c r="J2" s="2"/>
      <c r="K2" s="2"/>
      <c r="L2" s="1"/>
      <c r="M2" s="1"/>
      <c r="N2" s="1"/>
      <c r="O2" s="1"/>
      <c r="P2" s="1"/>
      <c r="Q2" s="1"/>
      <c r="R2" s="1"/>
      <c r="S2" s="1"/>
      <c r="T2" s="1"/>
      <c r="U2" s="1"/>
      <c r="V2" s="1"/>
      <c r="W2" s="1"/>
      <c r="X2" s="1"/>
      <c r="Y2" s="1"/>
      <c r="Z2" s="1"/>
    </row>
    <row r="3">
      <c r="A3" s="2"/>
      <c r="B3" s="2"/>
      <c r="C3" s="2"/>
      <c r="D3" s="2"/>
      <c r="E3" s="2"/>
      <c r="F3" s="2"/>
      <c r="G3" s="2"/>
      <c r="H3" s="2"/>
      <c r="I3" s="2"/>
      <c r="J3" s="2"/>
      <c r="K3" s="2"/>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c r="B5" s="3" t="s">
        <v>0</v>
      </c>
      <c r="C5" s="1"/>
      <c r="D5" s="1"/>
      <c r="E5" s="1"/>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c r="B7" s="4" t="s">
        <v>1</v>
      </c>
      <c r="C7" s="1"/>
      <c r="D7" s="1"/>
      <c r="E7" s="1"/>
      <c r="F7" s="1"/>
      <c r="G7" s="1"/>
      <c r="H7" s="1"/>
      <c r="I7" s="1"/>
      <c r="J7" s="1"/>
      <c r="K7" s="1"/>
      <c r="L7" s="1"/>
      <c r="M7" s="1"/>
      <c r="N7" s="1"/>
      <c r="O7" s="1"/>
      <c r="P7" s="1"/>
      <c r="Q7" s="1"/>
      <c r="R7" s="1"/>
      <c r="S7" s="1"/>
      <c r="T7" s="1"/>
      <c r="U7" s="1"/>
      <c r="V7" s="1"/>
      <c r="W7" s="1"/>
      <c r="X7" s="1"/>
      <c r="Y7" s="1"/>
      <c r="Z7" s="1"/>
    </row>
    <row r="8">
      <c r="A8" s="1"/>
      <c r="B8" s="5" t="s">
        <v>2</v>
      </c>
      <c r="C8" s="1"/>
      <c r="D8" s="1"/>
      <c r="E8" s="1"/>
      <c r="F8" s="1"/>
      <c r="G8" s="1"/>
      <c r="H8" s="1"/>
      <c r="I8" s="1"/>
      <c r="J8" s="1"/>
      <c r="K8" s="1"/>
      <c r="L8" s="1"/>
      <c r="M8" s="1"/>
      <c r="N8" s="1"/>
      <c r="O8" s="1"/>
      <c r="P8" s="1"/>
      <c r="Q8" s="1"/>
      <c r="R8" s="1"/>
      <c r="S8" s="1"/>
      <c r="T8" s="1"/>
      <c r="U8" s="1"/>
      <c r="V8" s="1"/>
      <c r="W8" s="1"/>
      <c r="X8" s="1"/>
      <c r="Y8" s="1"/>
      <c r="Z8" s="1"/>
    </row>
    <row r="9">
      <c r="A9" s="1"/>
      <c r="B9" s="5" t="s">
        <v>3</v>
      </c>
      <c r="C9" s="1"/>
      <c r="D9" s="1"/>
      <c r="E9" s="1"/>
      <c r="F9" s="1"/>
      <c r="G9" s="1"/>
      <c r="H9" s="1"/>
      <c r="I9" s="1"/>
      <c r="J9" s="1"/>
      <c r="K9" s="1"/>
      <c r="L9" s="1"/>
      <c r="M9" s="1"/>
      <c r="N9" s="1"/>
      <c r="O9" s="1"/>
      <c r="P9" s="1"/>
      <c r="Q9" s="1"/>
      <c r="R9" s="1"/>
      <c r="S9" s="1"/>
      <c r="T9" s="1"/>
      <c r="U9" s="1"/>
      <c r="V9" s="1"/>
      <c r="W9" s="1"/>
      <c r="X9" s="1"/>
      <c r="Y9" s="1"/>
      <c r="Z9" s="1"/>
    </row>
    <row r="10">
      <c r="A10" s="1"/>
      <c r="B10" s="5" t="s">
        <v>4</v>
      </c>
      <c r="C10" s="1"/>
      <c r="D10" s="1"/>
      <c r="E10" s="1"/>
      <c r="F10" s="1"/>
      <c r="G10" s="1"/>
      <c r="H10" s="1"/>
      <c r="I10" s="1"/>
      <c r="J10" s="1"/>
      <c r="K10" s="1"/>
      <c r="L10" s="1"/>
      <c r="M10" s="1"/>
      <c r="N10" s="1"/>
      <c r="O10" s="1"/>
      <c r="P10" s="1"/>
      <c r="Q10" s="1"/>
      <c r="R10" s="1"/>
      <c r="S10" s="1"/>
      <c r="T10" s="1"/>
      <c r="U10" s="1"/>
      <c r="V10" s="1"/>
      <c r="W10" s="1"/>
      <c r="X10" s="1"/>
      <c r="Y10" s="1"/>
      <c r="Z10" s="1"/>
    </row>
    <row r="11">
      <c r="A11" s="1"/>
      <c r="B11" s="5" t="s">
        <v>5</v>
      </c>
      <c r="C11" s="1"/>
      <c r="D11" s="1"/>
      <c r="E11" s="1"/>
      <c r="F11" s="1"/>
      <c r="G11" s="1"/>
      <c r="H11" s="1"/>
      <c r="I11" s="1"/>
      <c r="J11" s="1"/>
      <c r="K11" s="1"/>
      <c r="L11" s="1"/>
      <c r="M11" s="1"/>
      <c r="N11" s="1"/>
      <c r="O11" s="1"/>
      <c r="P11" s="1"/>
      <c r="Q11" s="1"/>
      <c r="R11" s="1"/>
      <c r="S11" s="1"/>
      <c r="T11" s="1"/>
      <c r="U11" s="1"/>
      <c r="V11" s="1"/>
      <c r="W11" s="1"/>
      <c r="X11" s="1"/>
      <c r="Y11" s="1"/>
      <c r="Z11" s="1"/>
    </row>
    <row r="12">
      <c r="A12" s="1"/>
      <c r="B12" s="5" t="s">
        <v>6</v>
      </c>
      <c r="C12" s="1"/>
      <c r="D12" s="1"/>
      <c r="E12" s="1"/>
      <c r="F12" s="1"/>
      <c r="G12" s="1"/>
      <c r="H12" s="1"/>
      <c r="I12" s="1"/>
      <c r="J12" s="1"/>
      <c r="K12" s="1"/>
      <c r="L12" s="1"/>
      <c r="M12" s="1"/>
      <c r="N12" s="1"/>
      <c r="O12" s="1"/>
      <c r="P12" s="1"/>
      <c r="Q12" s="1"/>
      <c r="R12" s="1"/>
      <c r="S12" s="1"/>
      <c r="T12" s="1"/>
      <c r="U12" s="1"/>
      <c r="V12" s="1"/>
      <c r="W12" s="1"/>
      <c r="X12" s="1"/>
      <c r="Y12" s="1"/>
      <c r="Z12" s="1"/>
    </row>
    <row r="13">
      <c r="A13" s="1"/>
      <c r="B13" s="6" t="s">
        <v>7</v>
      </c>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t="s">
        <v>8</v>
      </c>
      <c r="C18" s="1"/>
      <c r="D18" s="1"/>
      <c r="E18" s="1"/>
      <c r="F18" s="1"/>
      <c r="G18" s="1"/>
      <c r="H18" s="1"/>
      <c r="I18" s="1"/>
      <c r="J18" s="1"/>
      <c r="K18" s="1"/>
      <c r="L18" s="1"/>
      <c r="M18" s="1"/>
      <c r="N18" s="1"/>
      <c r="O18" s="1"/>
      <c r="P18" s="1"/>
      <c r="Q18" s="1"/>
      <c r="R18" s="1"/>
      <c r="S18" s="1"/>
      <c r="T18" s="1"/>
      <c r="U18" s="1"/>
      <c r="V18" s="1"/>
      <c r="W18" s="1"/>
      <c r="X18" s="1"/>
      <c r="Y18" s="1"/>
      <c r="Z18" s="1"/>
    </row>
    <row r="19">
      <c r="A19" s="1"/>
      <c r="B19" s="1" t="s">
        <v>9</v>
      </c>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hyperlinks>
    <hyperlink r:id="rId1" ref="B13"/>
  </hyperlinks>
  <printOptions/>
  <pageMargins bottom="1.0" footer="0.0" header="0.0" left="0.75" right="0.75" top="1.0"/>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43"/>
    <col customWidth="1" min="2" max="8" width="20.0"/>
    <col customWidth="1" min="9" max="26" width="8.71"/>
  </cols>
  <sheetData>
    <row r="1">
      <c r="A1" s="7" t="s">
        <v>10</v>
      </c>
      <c r="B1" s="8"/>
      <c r="C1" s="8"/>
      <c r="D1" s="8"/>
      <c r="E1" s="9">
        <v>45839.0</v>
      </c>
      <c r="F1" s="10"/>
      <c r="G1" s="8"/>
      <c r="H1" s="11"/>
      <c r="I1" s="12" t="s">
        <v>11</v>
      </c>
      <c r="L1" s="13" t="s">
        <v>12</v>
      </c>
      <c r="P1" s="14" t="s">
        <v>13</v>
      </c>
    </row>
    <row r="2">
      <c r="A2" s="15" t="s">
        <v>14</v>
      </c>
      <c r="B2" s="15" t="s">
        <v>15</v>
      </c>
      <c r="C2" s="16" t="s">
        <v>16</v>
      </c>
      <c r="D2" s="16" t="s">
        <v>17</v>
      </c>
      <c r="E2" s="17" t="s">
        <v>18</v>
      </c>
      <c r="F2" s="17" t="s">
        <v>19</v>
      </c>
      <c r="G2" s="17" t="s">
        <v>20</v>
      </c>
      <c r="H2" s="18" t="s">
        <v>21</v>
      </c>
      <c r="I2" s="19" t="s">
        <v>22</v>
      </c>
      <c r="J2" s="19" t="s">
        <v>23</v>
      </c>
      <c r="K2" s="19" t="s">
        <v>24</v>
      </c>
      <c r="L2" s="20" t="s">
        <v>25</v>
      </c>
      <c r="M2" s="20" t="s">
        <v>26</v>
      </c>
      <c r="N2" s="20" t="s">
        <v>27</v>
      </c>
      <c r="O2" s="20" t="s">
        <v>28</v>
      </c>
      <c r="P2" s="14" t="s">
        <v>29</v>
      </c>
    </row>
    <row r="3">
      <c r="A3" s="21" t="s">
        <v>30</v>
      </c>
      <c r="B3" s="22" t="s">
        <v>31</v>
      </c>
      <c r="C3" s="23">
        <f t="shared" ref="C3:C94" si="2">SUM(H3:K3)</f>
        <v>6</v>
      </c>
      <c r="D3" s="24">
        <v>0.2</v>
      </c>
      <c r="E3" s="25" t="str">
        <f>_xlfn.WORKDAY.INTL(E1, 1, 1,'PONER VACACIONES'!$B$4:$B$24)</f>
        <v>#REF!</v>
      </c>
      <c r="F3" s="25" t="str">
        <f t="shared" ref="F3:F94" si="3">_xlfn.WORKDAY.INTL(E3, D3*5, 1,'PONER VACACIONES'!$B$4:$B$24)</f>
        <v>#REF!</v>
      </c>
      <c r="G3" s="26" t="s">
        <v>32</v>
      </c>
      <c r="H3" s="27">
        <v>0.0</v>
      </c>
      <c r="I3" s="27">
        <v>0.0</v>
      </c>
      <c r="J3" s="27">
        <v>6.0</v>
      </c>
      <c r="K3" s="27">
        <v>0.0</v>
      </c>
      <c r="L3" s="28">
        <f t="shared" ref="L3:O3" si="1">H3</f>
        <v>0</v>
      </c>
      <c r="M3" s="28">
        <f t="shared" si="1"/>
        <v>0</v>
      </c>
      <c r="N3" s="28">
        <f t="shared" si="1"/>
        <v>6</v>
      </c>
      <c r="O3" s="28">
        <f t="shared" si="1"/>
        <v>0</v>
      </c>
      <c r="P3" s="29" t="b">
        <v>0</v>
      </c>
    </row>
    <row r="4">
      <c r="A4" s="21" t="s">
        <v>33</v>
      </c>
      <c r="B4" s="22" t="s">
        <v>34</v>
      </c>
      <c r="C4" s="23">
        <f t="shared" si="2"/>
        <v>12</v>
      </c>
      <c r="D4" s="24">
        <v>120.0</v>
      </c>
      <c r="E4" s="25" t="str">
        <f>_xlfn.WORKDAY.INTL(E1, 1, 1,'PONER VACACIONES'!$B$4:$B$24)</f>
        <v>#REF!</v>
      </c>
      <c r="F4" s="25" t="str">
        <f t="shared" si="3"/>
        <v>#REF!</v>
      </c>
      <c r="G4" s="26" t="s">
        <v>35</v>
      </c>
      <c r="H4" s="27">
        <v>0.0</v>
      </c>
      <c r="I4" s="27">
        <v>4.0</v>
      </c>
      <c r="J4" s="27">
        <v>8.0</v>
      </c>
      <c r="K4" s="27">
        <v>0.0</v>
      </c>
      <c r="L4" s="28">
        <f t="shared" ref="L4:O4" si="4">H4</f>
        <v>0</v>
      </c>
      <c r="M4" s="28">
        <f t="shared" si="4"/>
        <v>4</v>
      </c>
      <c r="N4" s="28">
        <f t="shared" si="4"/>
        <v>8</v>
      </c>
      <c r="O4" s="28">
        <f t="shared" si="4"/>
        <v>0</v>
      </c>
      <c r="P4" s="29" t="b">
        <v>0</v>
      </c>
    </row>
    <row r="5">
      <c r="A5" s="21" t="s">
        <v>33</v>
      </c>
      <c r="B5" s="22" t="s">
        <v>36</v>
      </c>
      <c r="C5" s="23">
        <f t="shared" si="2"/>
        <v>2</v>
      </c>
      <c r="D5" s="24">
        <v>0.2</v>
      </c>
      <c r="E5" s="25" t="str">
        <f>_xlfn.WORKDAY.INTL(E1+1, 1, 1,'PONER VACACIONES'!$B$4:$B$24)</f>
        <v>#REF!</v>
      </c>
      <c r="F5" s="25" t="str">
        <f t="shared" si="3"/>
        <v>#REF!</v>
      </c>
      <c r="G5" s="26" t="s">
        <v>37</v>
      </c>
      <c r="H5" s="27">
        <v>0.0</v>
      </c>
      <c r="I5" s="27">
        <v>1.0</v>
      </c>
      <c r="J5" s="27">
        <v>1.0</v>
      </c>
      <c r="K5" s="27">
        <v>0.0</v>
      </c>
      <c r="L5" s="28">
        <f t="shared" ref="L5:O5" si="5">H5</f>
        <v>0</v>
      </c>
      <c r="M5" s="28">
        <f t="shared" si="5"/>
        <v>1</v>
      </c>
      <c r="N5" s="28">
        <f t="shared" si="5"/>
        <v>1</v>
      </c>
      <c r="O5" s="28">
        <f t="shared" si="5"/>
        <v>0</v>
      </c>
      <c r="P5" s="29" t="b">
        <v>0</v>
      </c>
    </row>
    <row r="6">
      <c r="A6" s="21" t="s">
        <v>38</v>
      </c>
      <c r="B6" s="22" t="s">
        <v>39</v>
      </c>
      <c r="C6" s="23">
        <f t="shared" si="2"/>
        <v>6</v>
      </c>
      <c r="D6" s="24">
        <v>0.2</v>
      </c>
      <c r="E6" s="25" t="str">
        <f>_xlfn.WORKDAY.INTL(F5, 1, 1,'PONER VACACIONES'!$B$4:$B$24)</f>
        <v>#REF!</v>
      </c>
      <c r="F6" s="25" t="str">
        <f t="shared" si="3"/>
        <v>#REF!</v>
      </c>
      <c r="G6" s="26" t="s">
        <v>40</v>
      </c>
      <c r="H6" s="27">
        <v>2.0</v>
      </c>
      <c r="I6" s="27">
        <v>3.0</v>
      </c>
      <c r="J6" s="27">
        <v>1.0</v>
      </c>
      <c r="K6" s="27">
        <v>0.0</v>
      </c>
      <c r="L6" s="28">
        <f t="shared" ref="L6:O6" si="6">H6</f>
        <v>2</v>
      </c>
      <c r="M6" s="28">
        <f t="shared" si="6"/>
        <v>3</v>
      </c>
      <c r="N6" s="28">
        <f t="shared" si="6"/>
        <v>1</v>
      </c>
      <c r="O6" s="28">
        <f t="shared" si="6"/>
        <v>0</v>
      </c>
      <c r="P6" s="29" t="b">
        <v>0</v>
      </c>
    </row>
    <row r="7">
      <c r="A7" s="21" t="s">
        <v>38</v>
      </c>
      <c r="B7" s="22" t="s">
        <v>41</v>
      </c>
      <c r="C7" s="23">
        <f t="shared" si="2"/>
        <v>8</v>
      </c>
      <c r="D7" s="24">
        <v>1.0</v>
      </c>
      <c r="E7" s="25" t="str">
        <f>_xlfn.WORKDAY.INTL(F5, 1, 1,'PONER VACACIONES'!$B$4:$B$24)</f>
        <v>#REF!</v>
      </c>
      <c r="F7" s="25" t="str">
        <f t="shared" si="3"/>
        <v>#REF!</v>
      </c>
      <c r="G7" s="26" t="s">
        <v>42</v>
      </c>
      <c r="H7" s="27">
        <v>2.0</v>
      </c>
      <c r="I7" s="27">
        <v>5.0</v>
      </c>
      <c r="J7" s="27">
        <v>1.0</v>
      </c>
      <c r="K7" s="27">
        <v>0.0</v>
      </c>
      <c r="L7" s="28">
        <f t="shared" ref="L7:O7" si="7">H7</f>
        <v>2</v>
      </c>
      <c r="M7" s="28">
        <f t="shared" si="7"/>
        <v>5</v>
      </c>
      <c r="N7" s="28">
        <f t="shared" si="7"/>
        <v>1</v>
      </c>
      <c r="O7" s="28">
        <f t="shared" si="7"/>
        <v>0</v>
      </c>
      <c r="P7" s="29" t="b">
        <v>0</v>
      </c>
    </row>
    <row r="8">
      <c r="A8" s="30" t="s">
        <v>43</v>
      </c>
      <c r="B8" s="22" t="s">
        <v>44</v>
      </c>
      <c r="C8" s="23">
        <f t="shared" si="2"/>
        <v>18</v>
      </c>
      <c r="D8" s="24">
        <v>12.0</v>
      </c>
      <c r="E8" s="25" t="str">
        <f>_xlfn.WORKDAY.INTL(F5, 1, 1,'PONER VACACIONES'!$B$4:$B$24)</f>
        <v>#REF!</v>
      </c>
      <c r="F8" s="25" t="str">
        <f t="shared" si="3"/>
        <v>#REF!</v>
      </c>
      <c r="G8" s="26" t="s">
        <v>45</v>
      </c>
      <c r="H8" s="27">
        <v>0.0</v>
      </c>
      <c r="I8" s="27">
        <v>6.0</v>
      </c>
      <c r="J8" s="27">
        <v>12.0</v>
      </c>
      <c r="K8" s="27">
        <v>0.0</v>
      </c>
      <c r="L8" s="28">
        <f t="shared" ref="L8:O8" si="8">H8</f>
        <v>0</v>
      </c>
      <c r="M8" s="28">
        <f t="shared" si="8"/>
        <v>6</v>
      </c>
      <c r="N8" s="28">
        <f t="shared" si="8"/>
        <v>12</v>
      </c>
      <c r="O8" s="28">
        <f t="shared" si="8"/>
        <v>0</v>
      </c>
      <c r="P8" s="29" t="b">
        <v>0</v>
      </c>
    </row>
    <row r="9">
      <c r="A9" s="30" t="s">
        <v>43</v>
      </c>
      <c r="B9" s="22" t="s">
        <v>46</v>
      </c>
      <c r="C9" s="23">
        <f t="shared" si="2"/>
        <v>12</v>
      </c>
      <c r="D9" s="24">
        <v>4.0</v>
      </c>
      <c r="E9" s="25" t="str">
        <f>_xlfn.WORKDAY.INTL(E5, 1, 1,'PONER VACACIONES'!$B$4:$B$24)</f>
        <v>#REF!</v>
      </c>
      <c r="F9" s="25" t="str">
        <f t="shared" si="3"/>
        <v>#REF!</v>
      </c>
      <c r="G9" s="26" t="s">
        <v>47</v>
      </c>
      <c r="H9" s="27">
        <v>0.0</v>
      </c>
      <c r="I9" s="27">
        <v>4.0</v>
      </c>
      <c r="J9" s="27">
        <v>8.0</v>
      </c>
      <c r="K9" s="27">
        <v>0.0</v>
      </c>
      <c r="L9" s="28">
        <f t="shared" ref="L9:O9" si="9">H9</f>
        <v>0</v>
      </c>
      <c r="M9" s="28">
        <f t="shared" si="9"/>
        <v>4</v>
      </c>
      <c r="N9" s="28">
        <f t="shared" si="9"/>
        <v>8</v>
      </c>
      <c r="O9" s="28">
        <f t="shared" si="9"/>
        <v>0</v>
      </c>
      <c r="P9" s="29" t="b">
        <v>0</v>
      </c>
    </row>
    <row r="10">
      <c r="A10" s="31" t="s">
        <v>48</v>
      </c>
      <c r="B10" s="22" t="s">
        <v>49</v>
      </c>
      <c r="C10" s="23">
        <f t="shared" si="2"/>
        <v>3</v>
      </c>
      <c r="D10" s="24">
        <v>0.2</v>
      </c>
      <c r="E10" s="25" t="str">
        <f>_xlfn.WORKDAY.INTL(F9, 1, 1,'PONER VACACIONES'!$B$4:$B$24)</f>
        <v>#REF!</v>
      </c>
      <c r="F10" s="25" t="str">
        <f t="shared" si="3"/>
        <v>#REF!</v>
      </c>
      <c r="G10" s="26" t="s">
        <v>50</v>
      </c>
      <c r="H10" s="27">
        <v>0.0</v>
      </c>
      <c r="I10" s="27">
        <v>2.0</v>
      </c>
      <c r="J10" s="27">
        <v>1.0</v>
      </c>
      <c r="K10" s="27">
        <v>0.0</v>
      </c>
      <c r="L10" s="28">
        <f t="shared" ref="L10:O10" si="10">H10</f>
        <v>0</v>
      </c>
      <c r="M10" s="28">
        <f t="shared" si="10"/>
        <v>2</v>
      </c>
      <c r="N10" s="28">
        <f t="shared" si="10"/>
        <v>1</v>
      </c>
      <c r="O10" s="28">
        <f t="shared" si="10"/>
        <v>0</v>
      </c>
      <c r="P10" s="29" t="b">
        <v>0</v>
      </c>
    </row>
    <row r="11">
      <c r="A11" s="31" t="s">
        <v>48</v>
      </c>
      <c r="B11" s="22" t="s">
        <v>51</v>
      </c>
      <c r="C11" s="23">
        <f t="shared" si="2"/>
        <v>3</v>
      </c>
      <c r="D11" s="24">
        <v>0.2</v>
      </c>
      <c r="E11" s="25" t="str">
        <f>_xlfn.WORKDAY.INTL(E6, 1, 1,'PONER VACACIONES'!$B$4:$B$24)</f>
        <v>#REF!</v>
      </c>
      <c r="F11" s="25" t="str">
        <f t="shared" si="3"/>
        <v>#REF!</v>
      </c>
      <c r="G11" s="26" t="s">
        <v>52</v>
      </c>
      <c r="H11" s="27">
        <v>2.0</v>
      </c>
      <c r="I11" s="27">
        <v>1.0</v>
      </c>
      <c r="J11" s="27">
        <v>0.0</v>
      </c>
      <c r="K11" s="27">
        <v>0.0</v>
      </c>
      <c r="L11" s="28">
        <f t="shared" ref="L11:O11" si="11">H11</f>
        <v>2</v>
      </c>
      <c r="M11" s="28">
        <f t="shared" si="11"/>
        <v>1</v>
      </c>
      <c r="N11" s="28">
        <f t="shared" si="11"/>
        <v>0</v>
      </c>
      <c r="O11" s="28">
        <f t="shared" si="11"/>
        <v>0</v>
      </c>
      <c r="P11" s="29" t="b">
        <v>0</v>
      </c>
    </row>
    <row r="12">
      <c r="A12" s="31" t="s">
        <v>48</v>
      </c>
      <c r="B12" s="22" t="s">
        <v>53</v>
      </c>
      <c r="C12" s="23">
        <f t="shared" si="2"/>
        <v>6</v>
      </c>
      <c r="D12" s="24">
        <v>120.0</v>
      </c>
      <c r="E12" s="25" t="str">
        <f>_xlfn.WORKDAY.INTL(E6, 1, 1,'PONER VACACIONES'!$B$4:$B$24)</f>
        <v>#REF!</v>
      </c>
      <c r="F12" s="25" t="str">
        <f t="shared" si="3"/>
        <v>#REF!</v>
      </c>
      <c r="G12" s="26" t="s">
        <v>54</v>
      </c>
      <c r="H12" s="27">
        <v>2.0</v>
      </c>
      <c r="I12" s="27">
        <v>3.0</v>
      </c>
      <c r="J12" s="27">
        <v>1.0</v>
      </c>
      <c r="K12" s="27">
        <v>0.0</v>
      </c>
      <c r="L12" s="28">
        <f t="shared" ref="L12:O12" si="12">H12</f>
        <v>2</v>
      </c>
      <c r="M12" s="28">
        <f t="shared" si="12"/>
        <v>3</v>
      </c>
      <c r="N12" s="28">
        <f t="shared" si="12"/>
        <v>1</v>
      </c>
      <c r="O12" s="28">
        <f t="shared" si="12"/>
        <v>0</v>
      </c>
      <c r="P12" s="29" t="b">
        <v>0</v>
      </c>
    </row>
    <row r="13">
      <c r="A13" s="31" t="s">
        <v>48</v>
      </c>
      <c r="B13" s="32" t="s">
        <v>55</v>
      </c>
      <c r="C13" s="23">
        <f t="shared" si="2"/>
        <v>4.5</v>
      </c>
      <c r="D13" s="24">
        <v>0.2</v>
      </c>
      <c r="E13" s="25" t="str">
        <f>_xlfn.WORKDAY.INTL(E9, 1, 1,'PONER VACACIONES'!$B$4:$B$24)</f>
        <v>#REF!</v>
      </c>
      <c r="F13" s="25" t="str">
        <f t="shared" si="3"/>
        <v>#REF!</v>
      </c>
      <c r="G13" s="26" t="s">
        <v>56</v>
      </c>
      <c r="H13" s="27">
        <v>2.5</v>
      </c>
      <c r="I13" s="27">
        <v>1.5</v>
      </c>
      <c r="J13" s="27">
        <v>0.5</v>
      </c>
      <c r="K13" s="27">
        <v>0.0</v>
      </c>
      <c r="L13" s="28">
        <f t="shared" ref="L13:O13" si="13">H13</f>
        <v>2.5</v>
      </c>
      <c r="M13" s="28">
        <f t="shared" si="13"/>
        <v>1.5</v>
      </c>
      <c r="N13" s="28">
        <f t="shared" si="13"/>
        <v>0.5</v>
      </c>
      <c r="O13" s="28">
        <f t="shared" si="13"/>
        <v>0</v>
      </c>
      <c r="P13" s="29" t="b">
        <v>0</v>
      </c>
    </row>
    <row r="14">
      <c r="A14" s="31" t="s">
        <v>48</v>
      </c>
      <c r="B14" s="33" t="s">
        <v>57</v>
      </c>
      <c r="C14" s="23">
        <f t="shared" si="2"/>
        <v>5</v>
      </c>
      <c r="D14" s="24">
        <v>0.2</v>
      </c>
      <c r="E14" s="25" t="str">
        <f>_xlfn.WORKDAY.INTL(E9, 1, 1,'PONER VACACIONES'!$B$4:$B$24)</f>
        <v>#REF!</v>
      </c>
      <c r="F14" s="25" t="str">
        <f t="shared" si="3"/>
        <v>#REF!</v>
      </c>
      <c r="G14" s="26" t="s">
        <v>58</v>
      </c>
      <c r="H14" s="27">
        <v>2.5</v>
      </c>
      <c r="I14" s="27">
        <v>2.0</v>
      </c>
      <c r="J14" s="27">
        <v>0.5</v>
      </c>
      <c r="K14" s="27">
        <v>0.0</v>
      </c>
      <c r="L14" s="28">
        <f t="shared" ref="L14:O14" si="14">H14</f>
        <v>2.5</v>
      </c>
      <c r="M14" s="28">
        <f t="shared" si="14"/>
        <v>2</v>
      </c>
      <c r="N14" s="28">
        <f t="shared" si="14"/>
        <v>0.5</v>
      </c>
      <c r="O14" s="28">
        <f t="shared" si="14"/>
        <v>0</v>
      </c>
      <c r="P14" s="29" t="b">
        <v>1</v>
      </c>
    </row>
    <row r="15">
      <c r="A15" s="31" t="s">
        <v>48</v>
      </c>
      <c r="B15" s="33" t="s">
        <v>59</v>
      </c>
      <c r="C15" s="23">
        <f t="shared" si="2"/>
        <v>2.5</v>
      </c>
      <c r="D15" s="24">
        <v>0.2</v>
      </c>
      <c r="E15" s="25" t="str">
        <f>_xlfn.WORKDAY.INTL(F14, 1, 1,'PONER VACACIONES'!$B$4:$B$24)</f>
        <v>#REF!</v>
      </c>
      <c r="F15" s="25" t="str">
        <f t="shared" si="3"/>
        <v>#REF!</v>
      </c>
      <c r="G15" s="26" t="s">
        <v>60</v>
      </c>
      <c r="H15" s="27">
        <v>1.0</v>
      </c>
      <c r="I15" s="27">
        <v>1.0</v>
      </c>
      <c r="J15" s="27">
        <v>0.5</v>
      </c>
      <c r="K15" s="27">
        <v>0.0</v>
      </c>
      <c r="L15" s="28">
        <f t="shared" ref="L15:O15" si="15">H15</f>
        <v>1</v>
      </c>
      <c r="M15" s="28">
        <f t="shared" si="15"/>
        <v>1</v>
      </c>
      <c r="N15" s="28">
        <f t="shared" si="15"/>
        <v>0.5</v>
      </c>
      <c r="O15" s="28">
        <f t="shared" si="15"/>
        <v>0</v>
      </c>
      <c r="P15" s="29" t="b">
        <v>0</v>
      </c>
    </row>
    <row r="16">
      <c r="A16" s="31" t="s">
        <v>48</v>
      </c>
      <c r="B16" s="34" t="s">
        <v>61</v>
      </c>
      <c r="C16" s="23">
        <f t="shared" si="2"/>
        <v>2.5</v>
      </c>
      <c r="D16" s="24">
        <v>0.2</v>
      </c>
      <c r="E16" s="25" t="str">
        <f>_xlfn.WORKDAY.INTL(F14, 1, 1,'PONER VACACIONES'!$B$4:$B$24)</f>
        <v>#REF!</v>
      </c>
      <c r="F16" s="25" t="str">
        <f t="shared" si="3"/>
        <v>#REF!</v>
      </c>
      <c r="G16" s="26" t="s">
        <v>62</v>
      </c>
      <c r="H16" s="27">
        <v>1.0</v>
      </c>
      <c r="I16" s="27">
        <v>1.0</v>
      </c>
      <c r="J16" s="27">
        <v>0.5</v>
      </c>
      <c r="K16" s="27">
        <v>0.0</v>
      </c>
      <c r="L16" s="28">
        <f t="shared" ref="L16:O16" si="16">H16</f>
        <v>1</v>
      </c>
      <c r="M16" s="28">
        <f t="shared" si="16"/>
        <v>1</v>
      </c>
      <c r="N16" s="28">
        <f t="shared" si="16"/>
        <v>0.5</v>
      </c>
      <c r="O16" s="28">
        <f t="shared" si="16"/>
        <v>0</v>
      </c>
      <c r="P16" s="29" t="b">
        <v>0</v>
      </c>
    </row>
    <row r="17">
      <c r="A17" s="31" t="s">
        <v>48</v>
      </c>
      <c r="B17" s="34" t="s">
        <v>63</v>
      </c>
      <c r="C17" s="23">
        <f t="shared" si="2"/>
        <v>5.5</v>
      </c>
      <c r="D17" s="24">
        <v>0.2</v>
      </c>
      <c r="E17" s="25" t="str">
        <f>_xlfn.WORKDAY.INTL(F14, 1, 1,'PONER VACACIONES'!$B$4:$B$24)</f>
        <v>#REF!</v>
      </c>
      <c r="F17" s="25" t="str">
        <f t="shared" si="3"/>
        <v>#REF!</v>
      </c>
      <c r="G17" s="26" t="s">
        <v>64</v>
      </c>
      <c r="H17" s="27">
        <v>3.0</v>
      </c>
      <c r="I17" s="27">
        <v>2.0</v>
      </c>
      <c r="J17" s="27">
        <v>0.5</v>
      </c>
      <c r="K17" s="27">
        <v>0.0</v>
      </c>
      <c r="L17" s="28">
        <f t="shared" ref="L17:O17" si="17">H17</f>
        <v>3</v>
      </c>
      <c r="M17" s="28">
        <f t="shared" si="17"/>
        <v>2</v>
      </c>
      <c r="N17" s="28">
        <f t="shared" si="17"/>
        <v>0.5</v>
      </c>
      <c r="O17" s="28">
        <f t="shared" si="17"/>
        <v>0</v>
      </c>
      <c r="P17" s="29" t="b">
        <v>0</v>
      </c>
    </row>
    <row r="18">
      <c r="A18" s="31" t="s">
        <v>48</v>
      </c>
      <c r="B18" s="33" t="s">
        <v>65</v>
      </c>
      <c r="C18" s="23">
        <f t="shared" si="2"/>
        <v>1.5</v>
      </c>
      <c r="D18" s="24">
        <v>0.2</v>
      </c>
      <c r="E18" s="25" t="str">
        <f t="shared" ref="E18:E22" si="19">_xlfn.WORKDAY.INTL(F17, 1, 1,'PONER VACACIONES'!$B$4:$B$24)</f>
        <v>#REF!</v>
      </c>
      <c r="F18" s="25" t="str">
        <f t="shared" si="3"/>
        <v>#REF!</v>
      </c>
      <c r="G18" s="26" t="s">
        <v>66</v>
      </c>
      <c r="H18" s="27">
        <v>1.0</v>
      </c>
      <c r="I18" s="27">
        <v>0.5</v>
      </c>
      <c r="J18" s="27">
        <v>0.0</v>
      </c>
      <c r="K18" s="27">
        <v>0.0</v>
      </c>
      <c r="L18" s="28">
        <f t="shared" ref="L18:O18" si="18">H18</f>
        <v>1</v>
      </c>
      <c r="M18" s="28">
        <f t="shared" si="18"/>
        <v>0.5</v>
      </c>
      <c r="N18" s="28">
        <f t="shared" si="18"/>
        <v>0</v>
      </c>
      <c r="O18" s="28">
        <f t="shared" si="18"/>
        <v>0</v>
      </c>
      <c r="P18" s="29" t="b">
        <v>1</v>
      </c>
    </row>
    <row r="19">
      <c r="A19" s="31" t="s">
        <v>48</v>
      </c>
      <c r="B19" s="33" t="s">
        <v>67</v>
      </c>
      <c r="C19" s="23">
        <f t="shared" si="2"/>
        <v>1.5</v>
      </c>
      <c r="D19" s="24">
        <v>0.2</v>
      </c>
      <c r="E19" s="25" t="str">
        <f t="shared" si="19"/>
        <v>#REF!</v>
      </c>
      <c r="F19" s="25" t="str">
        <f t="shared" si="3"/>
        <v>#REF!</v>
      </c>
      <c r="G19" s="26" t="s">
        <v>68</v>
      </c>
      <c r="H19" s="27">
        <v>1.0</v>
      </c>
      <c r="I19" s="27">
        <v>0.5</v>
      </c>
      <c r="J19" s="27">
        <v>0.0</v>
      </c>
      <c r="K19" s="27">
        <v>0.0</v>
      </c>
      <c r="L19" s="28">
        <f t="shared" ref="L19:O19" si="20">H19</f>
        <v>1</v>
      </c>
      <c r="M19" s="28">
        <f t="shared" si="20"/>
        <v>0.5</v>
      </c>
      <c r="N19" s="28">
        <f t="shared" si="20"/>
        <v>0</v>
      </c>
      <c r="O19" s="28">
        <f t="shared" si="20"/>
        <v>0</v>
      </c>
      <c r="P19" s="29" t="b">
        <v>0</v>
      </c>
    </row>
    <row r="20">
      <c r="A20" s="31" t="s">
        <v>48</v>
      </c>
      <c r="B20" s="33" t="s">
        <v>69</v>
      </c>
      <c r="C20" s="23">
        <f t="shared" si="2"/>
        <v>2.5</v>
      </c>
      <c r="D20" s="24">
        <v>0.2</v>
      </c>
      <c r="E20" s="25" t="str">
        <f t="shared" si="19"/>
        <v>#REF!</v>
      </c>
      <c r="F20" s="25" t="str">
        <f t="shared" si="3"/>
        <v>#REF!</v>
      </c>
      <c r="G20" s="26" t="s">
        <v>70</v>
      </c>
      <c r="H20" s="27">
        <v>1.0</v>
      </c>
      <c r="I20" s="27">
        <v>1.0</v>
      </c>
      <c r="J20" s="27">
        <v>0.5</v>
      </c>
      <c r="K20" s="27">
        <v>0.0</v>
      </c>
      <c r="L20" s="28">
        <f t="shared" ref="L20:O20" si="21">H20</f>
        <v>1</v>
      </c>
      <c r="M20" s="28">
        <f t="shared" si="21"/>
        <v>1</v>
      </c>
      <c r="N20" s="28">
        <f t="shared" si="21"/>
        <v>0.5</v>
      </c>
      <c r="O20" s="28">
        <f t="shared" si="21"/>
        <v>0</v>
      </c>
      <c r="P20" s="29" t="b">
        <v>0</v>
      </c>
    </row>
    <row r="21" ht="15.75" customHeight="1">
      <c r="A21" s="31" t="s">
        <v>48</v>
      </c>
      <c r="B21" s="33" t="s">
        <v>71</v>
      </c>
      <c r="C21" s="23">
        <f t="shared" si="2"/>
        <v>1.5</v>
      </c>
      <c r="D21" s="24">
        <v>0.2</v>
      </c>
      <c r="E21" s="25" t="str">
        <f t="shared" si="19"/>
        <v>#REF!</v>
      </c>
      <c r="F21" s="25" t="str">
        <f t="shared" si="3"/>
        <v>#REF!</v>
      </c>
      <c r="G21" s="26" t="s">
        <v>72</v>
      </c>
      <c r="H21" s="27">
        <v>1.0</v>
      </c>
      <c r="I21" s="27">
        <v>0.5</v>
      </c>
      <c r="J21" s="27">
        <v>0.0</v>
      </c>
      <c r="K21" s="27">
        <v>0.0</v>
      </c>
      <c r="L21" s="28">
        <f t="shared" ref="L21:O21" si="22">H21</f>
        <v>1</v>
      </c>
      <c r="M21" s="28">
        <f t="shared" si="22"/>
        <v>0.5</v>
      </c>
      <c r="N21" s="28">
        <f t="shared" si="22"/>
        <v>0</v>
      </c>
      <c r="O21" s="28">
        <f t="shared" si="22"/>
        <v>0</v>
      </c>
      <c r="P21" s="29" t="b">
        <v>0</v>
      </c>
    </row>
    <row r="22" ht="15.75" customHeight="1">
      <c r="A22" s="31" t="s">
        <v>48</v>
      </c>
      <c r="B22" s="33" t="s">
        <v>73</v>
      </c>
      <c r="C22" s="23">
        <f t="shared" si="2"/>
        <v>2.5</v>
      </c>
      <c r="D22" s="24">
        <v>0.2</v>
      </c>
      <c r="E22" s="25" t="str">
        <f t="shared" si="19"/>
        <v>#REF!</v>
      </c>
      <c r="F22" s="25" t="str">
        <f t="shared" si="3"/>
        <v>#REF!</v>
      </c>
      <c r="G22" s="26" t="s">
        <v>74</v>
      </c>
      <c r="H22" s="27">
        <v>2.0</v>
      </c>
      <c r="I22" s="27">
        <v>0.5</v>
      </c>
      <c r="J22" s="27">
        <v>0.0</v>
      </c>
      <c r="K22" s="27">
        <v>0.0</v>
      </c>
      <c r="L22" s="28">
        <f t="shared" ref="L22:O22" si="23">H22</f>
        <v>2</v>
      </c>
      <c r="M22" s="28">
        <f t="shared" si="23"/>
        <v>0.5</v>
      </c>
      <c r="N22" s="28">
        <f t="shared" si="23"/>
        <v>0</v>
      </c>
      <c r="O22" s="28">
        <f t="shared" si="23"/>
        <v>0</v>
      </c>
      <c r="P22" s="29" t="b">
        <v>0</v>
      </c>
    </row>
    <row r="23" ht="15.75" customHeight="1">
      <c r="A23" s="31" t="s">
        <v>48</v>
      </c>
      <c r="B23" s="34" t="s">
        <v>75</v>
      </c>
      <c r="C23" s="23">
        <f t="shared" si="2"/>
        <v>6</v>
      </c>
      <c r="D23" s="24">
        <v>0.2</v>
      </c>
      <c r="E23" s="25" t="str">
        <f>_xlfn.WORKDAY.INTL(F22+30, 1, 1,'PONER VACACIONES'!$B$4:$B$24)</f>
        <v>#REF!</v>
      </c>
      <c r="F23" s="25" t="str">
        <f t="shared" si="3"/>
        <v>#REF!</v>
      </c>
      <c r="G23" s="26" t="s">
        <v>76</v>
      </c>
      <c r="H23" s="27">
        <v>3.0</v>
      </c>
      <c r="I23" s="27">
        <v>2.0</v>
      </c>
      <c r="J23" s="27">
        <v>1.0</v>
      </c>
      <c r="K23" s="27">
        <v>0.0</v>
      </c>
      <c r="L23" s="28">
        <f t="shared" ref="L23:O23" si="24">H23</f>
        <v>3</v>
      </c>
      <c r="M23" s="28">
        <f t="shared" si="24"/>
        <v>2</v>
      </c>
      <c r="N23" s="28">
        <f t="shared" si="24"/>
        <v>1</v>
      </c>
      <c r="O23" s="28">
        <f t="shared" si="24"/>
        <v>0</v>
      </c>
      <c r="P23" s="29" t="b">
        <v>0</v>
      </c>
    </row>
    <row r="24" ht="15.75" customHeight="1">
      <c r="A24" s="31" t="s">
        <v>48</v>
      </c>
      <c r="B24" s="34" t="s">
        <v>77</v>
      </c>
      <c r="C24" s="23">
        <f t="shared" si="2"/>
        <v>8</v>
      </c>
      <c r="D24" s="24">
        <v>0.4</v>
      </c>
      <c r="E24" s="25" t="str">
        <f>_xlfn.WORKDAY.INTL(F22, 1, 1,'PONER VACACIONES'!$B$4:$B$24)</f>
        <v>#REF!</v>
      </c>
      <c r="F24" s="25" t="str">
        <f t="shared" si="3"/>
        <v>#REF!</v>
      </c>
      <c r="G24" s="26" t="s">
        <v>78</v>
      </c>
      <c r="H24" s="27">
        <v>5.0</v>
      </c>
      <c r="I24" s="27">
        <v>2.0</v>
      </c>
      <c r="J24" s="27">
        <v>1.0</v>
      </c>
      <c r="K24" s="27">
        <v>0.0</v>
      </c>
      <c r="L24" s="28">
        <f t="shared" ref="L24:O24" si="25">H24</f>
        <v>5</v>
      </c>
      <c r="M24" s="28">
        <f t="shared" si="25"/>
        <v>2</v>
      </c>
      <c r="N24" s="28">
        <f t="shared" si="25"/>
        <v>1</v>
      </c>
      <c r="O24" s="28">
        <f t="shared" si="25"/>
        <v>0</v>
      </c>
      <c r="P24" s="29" t="b">
        <v>0</v>
      </c>
    </row>
    <row r="25" ht="15.75" customHeight="1">
      <c r="A25" s="31" t="s">
        <v>48</v>
      </c>
      <c r="B25" s="34" t="s">
        <v>79</v>
      </c>
      <c r="C25" s="23">
        <f t="shared" si="2"/>
        <v>4</v>
      </c>
      <c r="D25" s="24">
        <v>0.2</v>
      </c>
      <c r="E25" s="25" t="str">
        <f>_xlfn.WORKDAY.INTL(F24, 1, 1,'PONER VACACIONES'!$B$4:$B$24)</f>
        <v>#REF!</v>
      </c>
      <c r="F25" s="25" t="str">
        <f t="shared" si="3"/>
        <v>#REF!</v>
      </c>
      <c r="G25" s="26" t="s">
        <v>80</v>
      </c>
      <c r="H25" s="27">
        <v>1.0</v>
      </c>
      <c r="I25" s="27">
        <v>2.5</v>
      </c>
      <c r="J25" s="27">
        <v>0.5</v>
      </c>
      <c r="K25" s="27">
        <v>0.0</v>
      </c>
      <c r="L25" s="28">
        <f t="shared" ref="L25:O25" si="26">H25</f>
        <v>1</v>
      </c>
      <c r="M25" s="28">
        <f t="shared" si="26"/>
        <v>2.5</v>
      </c>
      <c r="N25" s="28">
        <f t="shared" si="26"/>
        <v>0.5</v>
      </c>
      <c r="O25" s="28">
        <f t="shared" si="26"/>
        <v>0</v>
      </c>
      <c r="P25" s="29" t="b">
        <v>0</v>
      </c>
    </row>
    <row r="26" ht="15.75" customHeight="1">
      <c r="A26" s="31" t="s">
        <v>48</v>
      </c>
      <c r="B26" s="33" t="s">
        <v>81</v>
      </c>
      <c r="C26" s="23">
        <f t="shared" si="2"/>
        <v>5</v>
      </c>
      <c r="D26" s="24">
        <v>0.2</v>
      </c>
      <c r="E26" s="25" t="str">
        <f>_xlfn.WORKDAY.INTL(F24, 1, 1,'PONER VACACIONES'!$B$4:$B$24)</f>
        <v>#REF!</v>
      </c>
      <c r="F26" s="25" t="str">
        <f t="shared" si="3"/>
        <v>#REF!</v>
      </c>
      <c r="G26" s="26" t="s">
        <v>82</v>
      </c>
      <c r="H26" s="27">
        <v>2.0</v>
      </c>
      <c r="I26" s="27">
        <v>2.0</v>
      </c>
      <c r="J26" s="27">
        <v>1.0</v>
      </c>
      <c r="K26" s="27">
        <v>0.0</v>
      </c>
      <c r="L26" s="28">
        <f t="shared" ref="L26:O26" si="27">H26</f>
        <v>2</v>
      </c>
      <c r="M26" s="28">
        <f t="shared" si="27"/>
        <v>2</v>
      </c>
      <c r="N26" s="28">
        <f t="shared" si="27"/>
        <v>1</v>
      </c>
      <c r="O26" s="28">
        <f t="shared" si="27"/>
        <v>0</v>
      </c>
      <c r="P26" s="29" t="b">
        <v>0</v>
      </c>
    </row>
    <row r="27" ht="15.75" customHeight="1">
      <c r="A27" s="31" t="s">
        <v>48</v>
      </c>
      <c r="B27" s="34" t="s">
        <v>83</v>
      </c>
      <c r="C27" s="23">
        <f t="shared" si="2"/>
        <v>3.5</v>
      </c>
      <c r="D27" s="24">
        <v>0.2</v>
      </c>
      <c r="E27" s="25" t="str">
        <f t="shared" ref="E27:E30" si="29">_xlfn.WORKDAY.INTL(F26, 1, 1,'PONER VACACIONES'!$B$4:$B$24)</f>
        <v>#REF!</v>
      </c>
      <c r="F27" s="25" t="str">
        <f t="shared" si="3"/>
        <v>#REF!</v>
      </c>
      <c r="G27" s="26" t="s">
        <v>84</v>
      </c>
      <c r="H27" s="27">
        <v>2.0</v>
      </c>
      <c r="I27" s="27">
        <v>1.0</v>
      </c>
      <c r="J27" s="27">
        <v>0.5</v>
      </c>
      <c r="K27" s="27">
        <v>0.0</v>
      </c>
      <c r="L27" s="28">
        <f t="shared" ref="L27:O27" si="28">H27</f>
        <v>2</v>
      </c>
      <c r="M27" s="28">
        <f t="shared" si="28"/>
        <v>1</v>
      </c>
      <c r="N27" s="28">
        <f t="shared" si="28"/>
        <v>0.5</v>
      </c>
      <c r="O27" s="28">
        <f t="shared" si="28"/>
        <v>0</v>
      </c>
      <c r="P27" s="29" t="b">
        <v>0</v>
      </c>
    </row>
    <row r="28" ht="15.75" customHeight="1">
      <c r="A28" s="31" t="s">
        <v>48</v>
      </c>
      <c r="B28" s="34" t="s">
        <v>85</v>
      </c>
      <c r="C28" s="23">
        <f t="shared" si="2"/>
        <v>6</v>
      </c>
      <c r="D28" s="24">
        <v>0.2</v>
      </c>
      <c r="E28" s="25" t="str">
        <f t="shared" si="29"/>
        <v>#REF!</v>
      </c>
      <c r="F28" s="25" t="str">
        <f t="shared" si="3"/>
        <v>#REF!</v>
      </c>
      <c r="G28" s="26" t="s">
        <v>86</v>
      </c>
      <c r="H28" s="27">
        <v>3.0</v>
      </c>
      <c r="I28" s="27">
        <v>2.0</v>
      </c>
      <c r="J28" s="27">
        <v>1.0</v>
      </c>
      <c r="K28" s="27">
        <v>0.0</v>
      </c>
      <c r="L28" s="28">
        <f t="shared" ref="L28:O28" si="30">H28</f>
        <v>3</v>
      </c>
      <c r="M28" s="28">
        <f t="shared" si="30"/>
        <v>2</v>
      </c>
      <c r="N28" s="28">
        <f t="shared" si="30"/>
        <v>1</v>
      </c>
      <c r="O28" s="28">
        <f t="shared" si="30"/>
        <v>0</v>
      </c>
      <c r="P28" s="29" t="b">
        <v>0</v>
      </c>
    </row>
    <row r="29" ht="15.75" customHeight="1">
      <c r="A29" s="31" t="s">
        <v>48</v>
      </c>
      <c r="B29" s="34" t="s">
        <v>87</v>
      </c>
      <c r="C29" s="23">
        <f t="shared" si="2"/>
        <v>6</v>
      </c>
      <c r="D29" s="24">
        <v>0.2</v>
      </c>
      <c r="E29" s="25" t="str">
        <f t="shared" si="29"/>
        <v>#REF!</v>
      </c>
      <c r="F29" s="25" t="str">
        <f t="shared" si="3"/>
        <v>#REF!</v>
      </c>
      <c r="G29" s="26" t="s">
        <v>88</v>
      </c>
      <c r="H29" s="27">
        <v>3.0</v>
      </c>
      <c r="I29" s="27">
        <v>2.0</v>
      </c>
      <c r="J29" s="27">
        <v>1.0</v>
      </c>
      <c r="K29" s="27">
        <v>0.0</v>
      </c>
      <c r="L29" s="28">
        <f t="shared" ref="L29:O29" si="31">H29</f>
        <v>3</v>
      </c>
      <c r="M29" s="28">
        <f t="shared" si="31"/>
        <v>2</v>
      </c>
      <c r="N29" s="28">
        <f t="shared" si="31"/>
        <v>1</v>
      </c>
      <c r="O29" s="28">
        <f t="shared" si="31"/>
        <v>0</v>
      </c>
      <c r="P29" s="29" t="b">
        <v>1</v>
      </c>
    </row>
    <row r="30" ht="15.75" customHeight="1">
      <c r="A30" s="31" t="s">
        <v>48</v>
      </c>
      <c r="B30" s="34" t="s">
        <v>89</v>
      </c>
      <c r="C30" s="23">
        <f t="shared" si="2"/>
        <v>6</v>
      </c>
      <c r="D30" s="24">
        <v>0.2</v>
      </c>
      <c r="E30" s="25" t="str">
        <f t="shared" si="29"/>
        <v>#REF!</v>
      </c>
      <c r="F30" s="25" t="str">
        <f t="shared" si="3"/>
        <v>#REF!</v>
      </c>
      <c r="G30" s="26" t="s">
        <v>90</v>
      </c>
      <c r="H30" s="27">
        <v>3.0</v>
      </c>
      <c r="I30" s="27">
        <v>2.0</v>
      </c>
      <c r="J30" s="27">
        <v>1.0</v>
      </c>
      <c r="K30" s="27">
        <v>0.0</v>
      </c>
      <c r="L30" s="28">
        <f t="shared" ref="L30:O30" si="32">H30</f>
        <v>3</v>
      </c>
      <c r="M30" s="28">
        <f t="shared" si="32"/>
        <v>2</v>
      </c>
      <c r="N30" s="28">
        <f t="shared" si="32"/>
        <v>1</v>
      </c>
      <c r="O30" s="28">
        <f t="shared" si="32"/>
        <v>0</v>
      </c>
      <c r="P30" s="29" t="b">
        <v>0</v>
      </c>
    </row>
    <row r="31" ht="15.75" customHeight="1">
      <c r="A31" s="31" t="s">
        <v>48</v>
      </c>
      <c r="B31" s="33" t="s">
        <v>91</v>
      </c>
      <c r="C31" s="23">
        <f t="shared" si="2"/>
        <v>2.5</v>
      </c>
      <c r="D31" s="24">
        <v>0.2</v>
      </c>
      <c r="E31" s="25" t="str">
        <f>_xlfn.WORKDAY.INTL(F26, 1, 1,'PONER VACACIONES'!$B$4:$B$24)</f>
        <v>#REF!</v>
      </c>
      <c r="F31" s="25" t="str">
        <f t="shared" si="3"/>
        <v>#REF!</v>
      </c>
      <c r="G31" s="26" t="s">
        <v>92</v>
      </c>
      <c r="H31" s="27">
        <v>2.0</v>
      </c>
      <c r="I31" s="27">
        <v>0.5</v>
      </c>
      <c r="J31" s="27">
        <v>0.0</v>
      </c>
      <c r="K31" s="27">
        <v>0.0</v>
      </c>
      <c r="L31" s="28">
        <f t="shared" ref="L31:O31" si="33">H31</f>
        <v>2</v>
      </c>
      <c r="M31" s="28">
        <f t="shared" si="33"/>
        <v>0.5</v>
      </c>
      <c r="N31" s="28">
        <f t="shared" si="33"/>
        <v>0</v>
      </c>
      <c r="O31" s="28">
        <f t="shared" si="33"/>
        <v>0</v>
      </c>
      <c r="P31" s="29" t="b">
        <v>0</v>
      </c>
    </row>
    <row r="32" ht="15.75" customHeight="1">
      <c r="A32" s="31" t="s">
        <v>48</v>
      </c>
      <c r="B32" s="34" t="s">
        <v>93</v>
      </c>
      <c r="C32" s="23">
        <f t="shared" si="2"/>
        <v>6</v>
      </c>
      <c r="D32" s="24">
        <v>0.2</v>
      </c>
      <c r="E32" s="25" t="str">
        <f t="shared" ref="E32:E34" si="35">_xlfn.WORKDAY.INTL(F31, 1, 1,'PONER VACACIONES'!$B$4:$B$24)</f>
        <v>#REF!</v>
      </c>
      <c r="F32" s="25" t="str">
        <f t="shared" si="3"/>
        <v>#REF!</v>
      </c>
      <c r="G32" s="26" t="s">
        <v>94</v>
      </c>
      <c r="H32" s="27">
        <v>3.0</v>
      </c>
      <c r="I32" s="27">
        <v>2.0</v>
      </c>
      <c r="J32" s="27">
        <v>1.0</v>
      </c>
      <c r="K32" s="27">
        <v>0.0</v>
      </c>
      <c r="L32" s="28">
        <f t="shared" ref="L32:O32" si="34">H32</f>
        <v>3</v>
      </c>
      <c r="M32" s="28">
        <f t="shared" si="34"/>
        <v>2</v>
      </c>
      <c r="N32" s="28">
        <f t="shared" si="34"/>
        <v>1</v>
      </c>
      <c r="O32" s="28">
        <f t="shared" si="34"/>
        <v>0</v>
      </c>
      <c r="P32" s="29" t="b">
        <v>0</v>
      </c>
    </row>
    <row r="33" ht="15.75" customHeight="1">
      <c r="A33" s="31" t="s">
        <v>48</v>
      </c>
      <c r="B33" s="34" t="s">
        <v>95</v>
      </c>
      <c r="C33" s="23">
        <f t="shared" si="2"/>
        <v>5</v>
      </c>
      <c r="D33" s="24">
        <v>0.2</v>
      </c>
      <c r="E33" s="25" t="str">
        <f t="shared" si="35"/>
        <v>#REF!</v>
      </c>
      <c r="F33" s="25" t="str">
        <f t="shared" si="3"/>
        <v>#REF!</v>
      </c>
      <c r="G33" s="26" t="s">
        <v>96</v>
      </c>
      <c r="H33" s="27">
        <v>2.5</v>
      </c>
      <c r="I33" s="27">
        <v>2.0</v>
      </c>
      <c r="J33" s="27">
        <v>0.5</v>
      </c>
      <c r="K33" s="27">
        <v>0.0</v>
      </c>
      <c r="L33" s="28">
        <f t="shared" ref="L33:O33" si="36">H33</f>
        <v>2.5</v>
      </c>
      <c r="M33" s="28">
        <f t="shared" si="36"/>
        <v>2</v>
      </c>
      <c r="N33" s="28">
        <f t="shared" si="36"/>
        <v>0.5</v>
      </c>
      <c r="O33" s="28">
        <f t="shared" si="36"/>
        <v>0</v>
      </c>
      <c r="P33" s="29" t="b">
        <v>0</v>
      </c>
    </row>
    <row r="34" ht="15.75" customHeight="1">
      <c r="A34" s="31" t="s">
        <v>48</v>
      </c>
      <c r="B34" s="34" t="s">
        <v>97</v>
      </c>
      <c r="C34" s="23">
        <f t="shared" si="2"/>
        <v>6</v>
      </c>
      <c r="D34" s="24">
        <v>0.2</v>
      </c>
      <c r="E34" s="25" t="str">
        <f t="shared" si="35"/>
        <v>#REF!</v>
      </c>
      <c r="F34" s="25" t="str">
        <f t="shared" si="3"/>
        <v>#REF!</v>
      </c>
      <c r="G34" s="26" t="s">
        <v>98</v>
      </c>
      <c r="H34" s="27">
        <v>3.0</v>
      </c>
      <c r="I34" s="27">
        <v>2.0</v>
      </c>
      <c r="J34" s="27">
        <v>1.0</v>
      </c>
      <c r="K34" s="27">
        <v>0.0</v>
      </c>
      <c r="L34" s="28">
        <f t="shared" ref="L34:O34" si="37">H34</f>
        <v>3</v>
      </c>
      <c r="M34" s="28">
        <f t="shared" si="37"/>
        <v>2</v>
      </c>
      <c r="N34" s="28">
        <f t="shared" si="37"/>
        <v>1</v>
      </c>
      <c r="O34" s="28">
        <f t="shared" si="37"/>
        <v>0</v>
      </c>
      <c r="P34" s="29" t="b">
        <v>0</v>
      </c>
    </row>
    <row r="35" ht="15.75" customHeight="1">
      <c r="A35" s="31" t="s">
        <v>48</v>
      </c>
      <c r="B35" s="33" t="s">
        <v>99</v>
      </c>
      <c r="C35" s="23">
        <f t="shared" si="2"/>
        <v>3</v>
      </c>
      <c r="D35" s="24">
        <v>0.2</v>
      </c>
      <c r="E35" s="25" t="str">
        <f>_xlfn.WORKDAY.INTL(F26, 1, 1,'PONER VACACIONES'!$B$4:$B$24)</f>
        <v>#REF!</v>
      </c>
      <c r="F35" s="25" t="str">
        <f t="shared" si="3"/>
        <v>#REF!</v>
      </c>
      <c r="G35" s="26" t="s">
        <v>100</v>
      </c>
      <c r="H35" s="27">
        <v>2.0</v>
      </c>
      <c r="I35" s="27">
        <v>0.5</v>
      </c>
      <c r="J35" s="27">
        <v>0.5</v>
      </c>
      <c r="K35" s="27">
        <v>0.0</v>
      </c>
      <c r="L35" s="28">
        <f t="shared" ref="L35:O35" si="38">H35</f>
        <v>2</v>
      </c>
      <c r="M35" s="28">
        <f t="shared" si="38"/>
        <v>0.5</v>
      </c>
      <c r="N35" s="28">
        <f t="shared" si="38"/>
        <v>0.5</v>
      </c>
      <c r="O35" s="28">
        <f t="shared" si="38"/>
        <v>0</v>
      </c>
      <c r="P35" s="29" t="b">
        <v>0</v>
      </c>
    </row>
    <row r="36" ht="15.75" customHeight="1">
      <c r="A36" s="31" t="s">
        <v>48</v>
      </c>
      <c r="B36" s="33" t="s">
        <v>101</v>
      </c>
      <c r="C36" s="23">
        <f t="shared" si="2"/>
        <v>2</v>
      </c>
      <c r="D36" s="24">
        <v>0.2</v>
      </c>
      <c r="E36" s="25" t="str">
        <f>_xlfn.WORKDAY.INTL(F26, 1, 1,'PONER VACACIONES'!$B$4:$B$24)</f>
        <v>#REF!</v>
      </c>
      <c r="F36" s="25" t="str">
        <f t="shared" si="3"/>
        <v>#REF!</v>
      </c>
      <c r="G36" s="26" t="s">
        <v>102</v>
      </c>
      <c r="H36" s="27">
        <v>1.5</v>
      </c>
      <c r="I36" s="27">
        <v>0.5</v>
      </c>
      <c r="J36" s="27">
        <v>0.0</v>
      </c>
      <c r="K36" s="27">
        <v>0.0</v>
      </c>
      <c r="L36" s="28">
        <f t="shared" ref="L36:O36" si="39">H36</f>
        <v>1.5</v>
      </c>
      <c r="M36" s="28">
        <f t="shared" si="39"/>
        <v>0.5</v>
      </c>
      <c r="N36" s="28">
        <f t="shared" si="39"/>
        <v>0</v>
      </c>
      <c r="O36" s="28">
        <f t="shared" si="39"/>
        <v>0</v>
      </c>
      <c r="P36" s="29" t="b">
        <v>0</v>
      </c>
    </row>
    <row r="37" ht="15.75" customHeight="1">
      <c r="A37" s="31" t="s">
        <v>48</v>
      </c>
      <c r="B37" s="33" t="s">
        <v>103</v>
      </c>
      <c r="C37" s="23">
        <f t="shared" si="2"/>
        <v>3.5</v>
      </c>
      <c r="D37" s="24">
        <v>0.2</v>
      </c>
      <c r="E37" s="25" t="str">
        <f t="shared" ref="E37:E45" si="41">_xlfn.WORKDAY.INTL(F36, 1, 1,'PONER VACACIONES'!$B$4:$B$24)</f>
        <v>#REF!</v>
      </c>
      <c r="F37" s="25" t="str">
        <f t="shared" si="3"/>
        <v>#REF!</v>
      </c>
      <c r="G37" s="26" t="s">
        <v>104</v>
      </c>
      <c r="H37" s="27">
        <v>2.0</v>
      </c>
      <c r="I37" s="27">
        <v>1.0</v>
      </c>
      <c r="J37" s="27">
        <v>0.5</v>
      </c>
      <c r="K37" s="27">
        <v>0.0</v>
      </c>
      <c r="L37" s="28">
        <f t="shared" ref="L37:O37" si="40">H37</f>
        <v>2</v>
      </c>
      <c r="M37" s="28">
        <f t="shared" si="40"/>
        <v>1</v>
      </c>
      <c r="N37" s="28">
        <f t="shared" si="40"/>
        <v>0.5</v>
      </c>
      <c r="O37" s="28">
        <f t="shared" si="40"/>
        <v>0</v>
      </c>
      <c r="P37" s="29" t="b">
        <v>0</v>
      </c>
    </row>
    <row r="38" ht="15.75" customHeight="1">
      <c r="A38" s="31" t="s">
        <v>48</v>
      </c>
      <c r="B38" s="34" t="s">
        <v>105</v>
      </c>
      <c r="C38" s="23">
        <f t="shared" si="2"/>
        <v>5</v>
      </c>
      <c r="D38" s="24">
        <v>0.2</v>
      </c>
      <c r="E38" s="25" t="str">
        <f t="shared" si="41"/>
        <v>#REF!</v>
      </c>
      <c r="F38" s="25" t="str">
        <f t="shared" si="3"/>
        <v>#REF!</v>
      </c>
      <c r="G38" s="26" t="s">
        <v>106</v>
      </c>
      <c r="H38" s="27">
        <v>3.0</v>
      </c>
      <c r="I38" s="27">
        <v>1.5</v>
      </c>
      <c r="J38" s="27">
        <v>0.5</v>
      </c>
      <c r="K38" s="27">
        <v>0.0</v>
      </c>
      <c r="L38" s="28">
        <f t="shared" ref="L38:O38" si="42">H38</f>
        <v>3</v>
      </c>
      <c r="M38" s="28">
        <f t="shared" si="42"/>
        <v>1.5</v>
      </c>
      <c r="N38" s="28">
        <f t="shared" si="42"/>
        <v>0.5</v>
      </c>
      <c r="O38" s="28">
        <f t="shared" si="42"/>
        <v>0</v>
      </c>
      <c r="P38" s="29" t="b">
        <v>0</v>
      </c>
    </row>
    <row r="39" ht="15.75" customHeight="1">
      <c r="A39" s="31" t="s">
        <v>48</v>
      </c>
      <c r="B39" s="34" t="s">
        <v>107</v>
      </c>
      <c r="C39" s="23">
        <f t="shared" si="2"/>
        <v>6</v>
      </c>
      <c r="D39" s="24">
        <v>0.2</v>
      </c>
      <c r="E39" s="25" t="str">
        <f t="shared" si="41"/>
        <v>#REF!</v>
      </c>
      <c r="F39" s="25" t="str">
        <f t="shared" si="3"/>
        <v>#REF!</v>
      </c>
      <c r="G39" s="26" t="s">
        <v>108</v>
      </c>
      <c r="H39" s="27">
        <v>3.0</v>
      </c>
      <c r="I39" s="27">
        <v>2.0</v>
      </c>
      <c r="J39" s="27">
        <v>1.0</v>
      </c>
      <c r="K39" s="27">
        <v>0.0</v>
      </c>
      <c r="L39" s="28">
        <f t="shared" ref="L39:O39" si="43">H39</f>
        <v>3</v>
      </c>
      <c r="M39" s="28">
        <f t="shared" si="43"/>
        <v>2</v>
      </c>
      <c r="N39" s="28">
        <f t="shared" si="43"/>
        <v>1</v>
      </c>
      <c r="O39" s="28">
        <f t="shared" si="43"/>
        <v>0</v>
      </c>
      <c r="P39" s="29" t="b">
        <v>0</v>
      </c>
    </row>
    <row r="40" ht="15.75" customHeight="1">
      <c r="A40" s="31" t="s">
        <v>48</v>
      </c>
      <c r="B40" s="34" t="s">
        <v>109</v>
      </c>
      <c r="C40" s="23">
        <f t="shared" si="2"/>
        <v>6</v>
      </c>
      <c r="D40" s="24">
        <v>0.2</v>
      </c>
      <c r="E40" s="25" t="str">
        <f t="shared" si="41"/>
        <v>#REF!</v>
      </c>
      <c r="F40" s="25" t="str">
        <f t="shared" si="3"/>
        <v>#REF!</v>
      </c>
      <c r="G40" s="26" t="s">
        <v>110</v>
      </c>
      <c r="H40" s="27">
        <v>3.0</v>
      </c>
      <c r="I40" s="27">
        <v>2.0</v>
      </c>
      <c r="J40" s="27">
        <v>1.0</v>
      </c>
      <c r="K40" s="27">
        <v>0.0</v>
      </c>
      <c r="L40" s="28">
        <f t="shared" ref="L40:O40" si="44">H40</f>
        <v>3</v>
      </c>
      <c r="M40" s="28">
        <f t="shared" si="44"/>
        <v>2</v>
      </c>
      <c r="N40" s="28">
        <f t="shared" si="44"/>
        <v>1</v>
      </c>
      <c r="O40" s="28">
        <f t="shared" si="44"/>
        <v>0</v>
      </c>
      <c r="P40" s="29" t="b">
        <v>1</v>
      </c>
    </row>
    <row r="41" ht="15.75" customHeight="1">
      <c r="A41" s="31" t="s">
        <v>48</v>
      </c>
      <c r="B41" s="34" t="s">
        <v>111</v>
      </c>
      <c r="C41" s="23">
        <f t="shared" si="2"/>
        <v>6</v>
      </c>
      <c r="D41" s="24">
        <v>0.2</v>
      </c>
      <c r="E41" s="25" t="str">
        <f t="shared" si="41"/>
        <v>#REF!</v>
      </c>
      <c r="F41" s="25" t="str">
        <f t="shared" si="3"/>
        <v>#REF!</v>
      </c>
      <c r="G41" s="26" t="s">
        <v>112</v>
      </c>
      <c r="H41" s="27">
        <v>3.0</v>
      </c>
      <c r="I41" s="27">
        <v>2.0</v>
      </c>
      <c r="J41" s="27">
        <v>1.0</v>
      </c>
      <c r="K41" s="27">
        <v>0.0</v>
      </c>
      <c r="L41" s="28">
        <f t="shared" ref="L41:O41" si="45">H41</f>
        <v>3</v>
      </c>
      <c r="M41" s="28">
        <f t="shared" si="45"/>
        <v>2</v>
      </c>
      <c r="N41" s="28">
        <f t="shared" si="45"/>
        <v>1</v>
      </c>
      <c r="O41" s="28">
        <f t="shared" si="45"/>
        <v>0</v>
      </c>
      <c r="P41" s="29" t="b">
        <v>0</v>
      </c>
    </row>
    <row r="42" ht="15.75" customHeight="1">
      <c r="A42" s="31" t="s">
        <v>48</v>
      </c>
      <c r="B42" s="34" t="s">
        <v>113</v>
      </c>
      <c r="C42" s="23">
        <f t="shared" si="2"/>
        <v>5</v>
      </c>
      <c r="D42" s="24">
        <v>0.2</v>
      </c>
      <c r="E42" s="25" t="str">
        <f t="shared" si="41"/>
        <v>#REF!</v>
      </c>
      <c r="F42" s="25" t="str">
        <f t="shared" si="3"/>
        <v>#REF!</v>
      </c>
      <c r="G42" s="26" t="s">
        <v>114</v>
      </c>
      <c r="H42" s="27">
        <v>3.0</v>
      </c>
      <c r="I42" s="27">
        <v>1.5</v>
      </c>
      <c r="J42" s="27">
        <v>0.5</v>
      </c>
      <c r="K42" s="27">
        <v>0.0</v>
      </c>
      <c r="L42" s="28">
        <f t="shared" ref="L42:O42" si="46">H42</f>
        <v>3</v>
      </c>
      <c r="M42" s="28">
        <f t="shared" si="46"/>
        <v>1.5</v>
      </c>
      <c r="N42" s="28">
        <f t="shared" si="46"/>
        <v>0.5</v>
      </c>
      <c r="O42" s="28">
        <f t="shared" si="46"/>
        <v>0</v>
      </c>
      <c r="P42" s="29" t="b">
        <v>0</v>
      </c>
    </row>
    <row r="43" ht="15.75" customHeight="1">
      <c r="A43" s="31" t="s">
        <v>48</v>
      </c>
      <c r="B43" s="34" t="s">
        <v>115</v>
      </c>
      <c r="C43" s="23">
        <f t="shared" si="2"/>
        <v>4.5</v>
      </c>
      <c r="D43" s="24">
        <v>0.2</v>
      </c>
      <c r="E43" s="25" t="str">
        <f t="shared" si="41"/>
        <v>#REF!</v>
      </c>
      <c r="F43" s="25" t="str">
        <f t="shared" si="3"/>
        <v>#REF!</v>
      </c>
      <c r="G43" s="26" t="s">
        <v>116</v>
      </c>
      <c r="H43" s="27">
        <v>3.5</v>
      </c>
      <c r="I43" s="27">
        <v>0.5</v>
      </c>
      <c r="J43" s="27">
        <v>0.5</v>
      </c>
      <c r="K43" s="27">
        <v>0.0</v>
      </c>
      <c r="L43" s="28">
        <f t="shared" ref="L43:O43" si="47">H43</f>
        <v>3.5</v>
      </c>
      <c r="M43" s="28">
        <f t="shared" si="47"/>
        <v>0.5</v>
      </c>
      <c r="N43" s="28">
        <f t="shared" si="47"/>
        <v>0.5</v>
      </c>
      <c r="O43" s="28">
        <f t="shared" si="47"/>
        <v>0</v>
      </c>
      <c r="P43" s="29" t="b">
        <v>0</v>
      </c>
    </row>
    <row r="44" ht="15.75" customHeight="1">
      <c r="A44" s="31" t="s">
        <v>48</v>
      </c>
      <c r="B44" s="34" t="s">
        <v>117</v>
      </c>
      <c r="C44" s="23">
        <f t="shared" si="2"/>
        <v>4</v>
      </c>
      <c r="D44" s="24">
        <v>0.2</v>
      </c>
      <c r="E44" s="25" t="str">
        <f t="shared" si="41"/>
        <v>#REF!</v>
      </c>
      <c r="F44" s="25" t="str">
        <f t="shared" si="3"/>
        <v>#REF!</v>
      </c>
      <c r="G44" s="26" t="s">
        <v>118</v>
      </c>
      <c r="H44" s="27">
        <v>3.0</v>
      </c>
      <c r="I44" s="27">
        <v>0.5</v>
      </c>
      <c r="J44" s="27">
        <v>0.5</v>
      </c>
      <c r="K44" s="27">
        <v>0.0</v>
      </c>
      <c r="L44" s="28">
        <f t="shared" ref="L44:O44" si="48">H44</f>
        <v>3</v>
      </c>
      <c r="M44" s="28">
        <f t="shared" si="48"/>
        <v>0.5</v>
      </c>
      <c r="N44" s="28">
        <f t="shared" si="48"/>
        <v>0.5</v>
      </c>
      <c r="O44" s="28">
        <f t="shared" si="48"/>
        <v>0</v>
      </c>
      <c r="P44" s="29" t="b">
        <v>0</v>
      </c>
    </row>
    <row r="45" ht="15.75" customHeight="1">
      <c r="A45" s="31" t="s">
        <v>48</v>
      </c>
      <c r="B45" s="34" t="s">
        <v>119</v>
      </c>
      <c r="C45" s="23">
        <f t="shared" si="2"/>
        <v>6</v>
      </c>
      <c r="D45" s="24">
        <v>0.2</v>
      </c>
      <c r="E45" s="25" t="str">
        <f t="shared" si="41"/>
        <v>#REF!</v>
      </c>
      <c r="F45" s="25" t="str">
        <f t="shared" si="3"/>
        <v>#REF!</v>
      </c>
      <c r="G45" s="26" t="s">
        <v>120</v>
      </c>
      <c r="H45" s="27">
        <v>3.0</v>
      </c>
      <c r="I45" s="27">
        <v>2.0</v>
      </c>
      <c r="J45" s="27">
        <v>1.0</v>
      </c>
      <c r="K45" s="27">
        <v>0.0</v>
      </c>
      <c r="L45" s="28">
        <f t="shared" ref="L45:O45" si="49">H45</f>
        <v>3</v>
      </c>
      <c r="M45" s="28">
        <f t="shared" si="49"/>
        <v>2</v>
      </c>
      <c r="N45" s="28">
        <f t="shared" si="49"/>
        <v>1</v>
      </c>
      <c r="O45" s="28">
        <f t="shared" si="49"/>
        <v>0</v>
      </c>
      <c r="P45" s="29" t="b">
        <v>0</v>
      </c>
    </row>
    <row r="46" ht="15.75" customHeight="1">
      <c r="A46" s="31" t="s">
        <v>48</v>
      </c>
      <c r="B46" s="33" t="s">
        <v>121</v>
      </c>
      <c r="C46" s="23">
        <f t="shared" si="2"/>
        <v>8</v>
      </c>
      <c r="D46" s="24">
        <v>0.4</v>
      </c>
      <c r="E46" s="25" t="str">
        <f>_xlfn.WORKDAY.INTL(F24, 1, 1,'PONER VACACIONES'!$B$4:$B$24)</f>
        <v>#REF!</v>
      </c>
      <c r="F46" s="25" t="str">
        <f t="shared" si="3"/>
        <v>#REF!</v>
      </c>
      <c r="G46" s="26" t="s">
        <v>122</v>
      </c>
      <c r="H46" s="27">
        <v>4.0</v>
      </c>
      <c r="I46" s="27">
        <v>2.0</v>
      </c>
      <c r="J46" s="27">
        <v>2.0</v>
      </c>
      <c r="K46" s="27">
        <v>0.0</v>
      </c>
      <c r="L46" s="28">
        <f t="shared" ref="L46:O46" si="50">H46</f>
        <v>4</v>
      </c>
      <c r="M46" s="28">
        <f t="shared" si="50"/>
        <v>2</v>
      </c>
      <c r="N46" s="28">
        <f t="shared" si="50"/>
        <v>2</v>
      </c>
      <c r="O46" s="28">
        <f t="shared" si="50"/>
        <v>0</v>
      </c>
      <c r="P46" s="29" t="b">
        <v>0</v>
      </c>
    </row>
    <row r="47" ht="15.75" customHeight="1">
      <c r="A47" s="31" t="s">
        <v>48</v>
      </c>
      <c r="B47" s="34" t="s">
        <v>123</v>
      </c>
      <c r="C47" s="23">
        <f t="shared" si="2"/>
        <v>8</v>
      </c>
      <c r="D47" s="24">
        <v>0.4</v>
      </c>
      <c r="E47" s="25" t="str">
        <f>_xlfn.WORKDAY.INTL(F45, 1, 1,'PONER VACACIONES'!$B$4:$B$24)</f>
        <v>#REF!</v>
      </c>
      <c r="F47" s="25" t="str">
        <f t="shared" si="3"/>
        <v>#REF!</v>
      </c>
      <c r="G47" s="26" t="s">
        <v>124</v>
      </c>
      <c r="H47" s="27">
        <v>4.0</v>
      </c>
      <c r="I47" s="27">
        <v>2.0</v>
      </c>
      <c r="J47" s="27">
        <v>2.0</v>
      </c>
      <c r="K47" s="27">
        <v>0.0</v>
      </c>
      <c r="L47" s="28">
        <f t="shared" ref="L47:O47" si="51">H47</f>
        <v>4</v>
      </c>
      <c r="M47" s="28">
        <f t="shared" si="51"/>
        <v>2</v>
      </c>
      <c r="N47" s="28">
        <f t="shared" si="51"/>
        <v>2</v>
      </c>
      <c r="O47" s="28">
        <f t="shared" si="51"/>
        <v>0</v>
      </c>
      <c r="P47" s="29" t="b">
        <v>0</v>
      </c>
    </row>
    <row r="48" ht="15.75" customHeight="1">
      <c r="A48" s="31" t="s">
        <v>48</v>
      </c>
      <c r="B48" s="34" t="s">
        <v>125</v>
      </c>
      <c r="C48" s="23">
        <f t="shared" si="2"/>
        <v>6</v>
      </c>
      <c r="D48" s="24">
        <v>0.2</v>
      </c>
      <c r="E48" s="25" t="str">
        <f t="shared" ref="E48:E50" si="53">_xlfn.WORKDAY.INTL(F47, 1, 1,'PONER VACACIONES'!$B$4:$B$24)</f>
        <v>#REF!</v>
      </c>
      <c r="F48" s="25" t="str">
        <f t="shared" si="3"/>
        <v>#REF!</v>
      </c>
      <c r="G48" s="26" t="s">
        <v>126</v>
      </c>
      <c r="H48" s="27">
        <v>3.0</v>
      </c>
      <c r="I48" s="27">
        <v>2.0</v>
      </c>
      <c r="J48" s="27">
        <v>1.0</v>
      </c>
      <c r="K48" s="27">
        <v>0.0</v>
      </c>
      <c r="L48" s="28">
        <f t="shared" ref="L48:O48" si="52">H48</f>
        <v>3</v>
      </c>
      <c r="M48" s="28">
        <f t="shared" si="52"/>
        <v>2</v>
      </c>
      <c r="N48" s="28">
        <f t="shared" si="52"/>
        <v>1</v>
      </c>
      <c r="O48" s="28">
        <f t="shared" si="52"/>
        <v>0</v>
      </c>
      <c r="P48" s="29" t="b">
        <v>0</v>
      </c>
    </row>
    <row r="49" ht="15.75" customHeight="1">
      <c r="A49" s="31" t="s">
        <v>48</v>
      </c>
      <c r="B49" s="34" t="s">
        <v>127</v>
      </c>
      <c r="C49" s="23">
        <f t="shared" si="2"/>
        <v>6</v>
      </c>
      <c r="D49" s="24">
        <v>0.2</v>
      </c>
      <c r="E49" s="25" t="str">
        <f t="shared" si="53"/>
        <v>#REF!</v>
      </c>
      <c r="F49" s="25" t="str">
        <f t="shared" si="3"/>
        <v>#REF!</v>
      </c>
      <c r="G49" s="26" t="s">
        <v>128</v>
      </c>
      <c r="H49" s="27">
        <v>3.0</v>
      </c>
      <c r="I49" s="27">
        <v>2.0</v>
      </c>
      <c r="J49" s="27">
        <v>1.0</v>
      </c>
      <c r="K49" s="27">
        <v>0.0</v>
      </c>
      <c r="L49" s="28">
        <f t="shared" ref="L49:O49" si="54">H49</f>
        <v>3</v>
      </c>
      <c r="M49" s="28">
        <f t="shared" si="54"/>
        <v>2</v>
      </c>
      <c r="N49" s="28">
        <f t="shared" si="54"/>
        <v>1</v>
      </c>
      <c r="O49" s="28">
        <f t="shared" si="54"/>
        <v>0</v>
      </c>
      <c r="P49" s="29" t="b">
        <v>0</v>
      </c>
    </row>
    <row r="50" ht="15.75" customHeight="1">
      <c r="A50" s="31" t="s">
        <v>48</v>
      </c>
      <c r="B50" s="34" t="s">
        <v>129</v>
      </c>
      <c r="C50" s="23">
        <f t="shared" si="2"/>
        <v>6</v>
      </c>
      <c r="D50" s="24">
        <v>0.2</v>
      </c>
      <c r="E50" s="25" t="str">
        <f t="shared" si="53"/>
        <v>#REF!</v>
      </c>
      <c r="F50" s="25" t="str">
        <f t="shared" si="3"/>
        <v>#REF!</v>
      </c>
      <c r="G50" s="26" t="s">
        <v>130</v>
      </c>
      <c r="H50" s="27">
        <v>3.0</v>
      </c>
      <c r="I50" s="27">
        <v>2.0</v>
      </c>
      <c r="J50" s="27">
        <v>1.0</v>
      </c>
      <c r="K50" s="27">
        <v>0.0</v>
      </c>
      <c r="L50" s="28">
        <f t="shared" ref="L50:O50" si="55">H50</f>
        <v>3</v>
      </c>
      <c r="M50" s="28">
        <f t="shared" si="55"/>
        <v>2</v>
      </c>
      <c r="N50" s="28">
        <f t="shared" si="55"/>
        <v>1</v>
      </c>
      <c r="O50" s="28">
        <f t="shared" si="55"/>
        <v>0</v>
      </c>
      <c r="P50" s="29" t="b">
        <v>0</v>
      </c>
    </row>
    <row r="51" ht="15.75" customHeight="1">
      <c r="A51" s="31" t="s">
        <v>48</v>
      </c>
      <c r="B51" s="33" t="s">
        <v>131</v>
      </c>
      <c r="C51" s="23">
        <f t="shared" si="2"/>
        <v>2.5</v>
      </c>
      <c r="D51" s="24">
        <v>0.2</v>
      </c>
      <c r="E51" s="25" t="str">
        <f>_xlfn.WORKDAY.INTL(F19, 1, 1,'PONER VACACIONES'!$B$4:$B$24)</f>
        <v>#REF!</v>
      </c>
      <c r="F51" s="25" t="str">
        <f t="shared" si="3"/>
        <v>#REF!</v>
      </c>
      <c r="G51" s="26" t="s">
        <v>132</v>
      </c>
      <c r="H51" s="27">
        <v>2.0</v>
      </c>
      <c r="I51" s="27">
        <v>0.5</v>
      </c>
      <c r="J51" s="27">
        <v>0.0</v>
      </c>
      <c r="K51" s="27">
        <v>0.0</v>
      </c>
      <c r="L51" s="28">
        <f t="shared" ref="L51:O51" si="56">H51</f>
        <v>2</v>
      </c>
      <c r="M51" s="28">
        <f t="shared" si="56"/>
        <v>0.5</v>
      </c>
      <c r="N51" s="28">
        <f t="shared" si="56"/>
        <v>0</v>
      </c>
      <c r="O51" s="28">
        <f t="shared" si="56"/>
        <v>0</v>
      </c>
      <c r="P51" s="29" t="b">
        <v>0</v>
      </c>
    </row>
    <row r="52" ht="15.75" customHeight="1">
      <c r="A52" s="31" t="s">
        <v>48</v>
      </c>
      <c r="B52" s="33" t="s">
        <v>133</v>
      </c>
      <c r="C52" s="23">
        <f t="shared" si="2"/>
        <v>1.5</v>
      </c>
      <c r="D52" s="24">
        <v>0.2</v>
      </c>
      <c r="E52" s="25" t="str">
        <f>_xlfn.WORKDAY.INTL(F19, 1, 1,'PONER VACACIONES'!$B$4:$B$24)</f>
        <v>#REF!</v>
      </c>
      <c r="F52" s="25" t="str">
        <f t="shared" si="3"/>
        <v>#REF!</v>
      </c>
      <c r="G52" s="26" t="s">
        <v>134</v>
      </c>
      <c r="H52" s="27">
        <v>1.0</v>
      </c>
      <c r="I52" s="27">
        <v>0.5</v>
      </c>
      <c r="J52" s="27">
        <v>0.0</v>
      </c>
      <c r="K52" s="27">
        <v>0.0</v>
      </c>
      <c r="L52" s="28">
        <f t="shared" ref="L52:O52" si="57">H52</f>
        <v>1</v>
      </c>
      <c r="M52" s="28">
        <f t="shared" si="57"/>
        <v>0.5</v>
      </c>
      <c r="N52" s="28">
        <f t="shared" si="57"/>
        <v>0</v>
      </c>
      <c r="O52" s="28">
        <f t="shared" si="57"/>
        <v>0</v>
      </c>
      <c r="P52" s="29" t="b">
        <v>0</v>
      </c>
    </row>
    <row r="53" ht="15.75" customHeight="1">
      <c r="A53" s="31" t="s">
        <v>48</v>
      </c>
      <c r="B53" s="34" t="s">
        <v>135</v>
      </c>
      <c r="C53" s="23">
        <f t="shared" si="2"/>
        <v>1.5</v>
      </c>
      <c r="D53" s="24">
        <v>0.2</v>
      </c>
      <c r="E53" s="25" t="str">
        <f>_xlfn.WORKDAY.INTL(F19, 1, 1,'PONER VACACIONES'!$B$4:$B$24)</f>
        <v>#REF!</v>
      </c>
      <c r="F53" s="25" t="str">
        <f t="shared" si="3"/>
        <v>#REF!</v>
      </c>
      <c r="G53" s="26" t="s">
        <v>134</v>
      </c>
      <c r="H53" s="27">
        <v>1.0</v>
      </c>
      <c r="I53" s="27">
        <v>0.5</v>
      </c>
      <c r="J53" s="27">
        <v>0.0</v>
      </c>
      <c r="K53" s="27">
        <v>0.0</v>
      </c>
      <c r="L53" s="28">
        <f t="shared" ref="L53:O53" si="58">H53</f>
        <v>1</v>
      </c>
      <c r="M53" s="28">
        <f t="shared" si="58"/>
        <v>0.5</v>
      </c>
      <c r="N53" s="28">
        <f t="shared" si="58"/>
        <v>0</v>
      </c>
      <c r="O53" s="28">
        <f t="shared" si="58"/>
        <v>0</v>
      </c>
      <c r="P53" s="29" t="b">
        <v>1</v>
      </c>
    </row>
    <row r="54" ht="15.75" customHeight="1">
      <c r="A54" s="31" t="s">
        <v>48</v>
      </c>
      <c r="B54" s="33" t="s">
        <v>136</v>
      </c>
      <c r="C54" s="23">
        <f t="shared" si="2"/>
        <v>1.5</v>
      </c>
      <c r="D54" s="24">
        <v>0.2</v>
      </c>
      <c r="E54" s="25" t="str">
        <f>_xlfn.WORKDAY.INTL(F19, 1, 1,'PONER VACACIONES'!$B$4:$B$24)</f>
        <v>#REF!</v>
      </c>
      <c r="F54" s="25" t="str">
        <f t="shared" si="3"/>
        <v>#REF!</v>
      </c>
      <c r="G54" s="26" t="s">
        <v>137</v>
      </c>
      <c r="H54" s="27">
        <v>1.0</v>
      </c>
      <c r="I54" s="27">
        <v>0.5</v>
      </c>
      <c r="J54" s="27">
        <v>0.0</v>
      </c>
      <c r="K54" s="27">
        <v>0.0</v>
      </c>
      <c r="L54" s="28">
        <f t="shared" ref="L54:O54" si="59">H54</f>
        <v>1</v>
      </c>
      <c r="M54" s="28">
        <f t="shared" si="59"/>
        <v>0.5</v>
      </c>
      <c r="N54" s="28">
        <f t="shared" si="59"/>
        <v>0</v>
      </c>
      <c r="O54" s="28">
        <f t="shared" si="59"/>
        <v>0</v>
      </c>
      <c r="P54" s="29" t="b">
        <v>0</v>
      </c>
    </row>
    <row r="55" ht="15.75" customHeight="1">
      <c r="A55" s="31" t="s">
        <v>48</v>
      </c>
      <c r="B55" s="34" t="s">
        <v>138</v>
      </c>
      <c r="C55" s="23">
        <f t="shared" si="2"/>
        <v>1.5</v>
      </c>
      <c r="D55" s="24">
        <v>0.2</v>
      </c>
      <c r="E55" s="25" t="str">
        <f>_xlfn.WORKDAY.INTL(F19, 1, 1,'PONER VACACIONES'!$B$4:$B$24)</f>
        <v>#REF!</v>
      </c>
      <c r="F55" s="25" t="str">
        <f t="shared" si="3"/>
        <v>#REF!</v>
      </c>
      <c r="G55" s="26" t="s">
        <v>137</v>
      </c>
      <c r="H55" s="27">
        <v>1.0</v>
      </c>
      <c r="I55" s="27">
        <v>0.5</v>
      </c>
      <c r="J55" s="27">
        <v>0.0</v>
      </c>
      <c r="K55" s="27">
        <v>0.0</v>
      </c>
      <c r="L55" s="28">
        <f t="shared" ref="L55:O55" si="60">H55</f>
        <v>1</v>
      </c>
      <c r="M55" s="28">
        <f t="shared" si="60"/>
        <v>0.5</v>
      </c>
      <c r="N55" s="28">
        <f t="shared" si="60"/>
        <v>0</v>
      </c>
      <c r="O55" s="28">
        <f t="shared" si="60"/>
        <v>0</v>
      </c>
      <c r="P55" s="29" t="b">
        <v>1</v>
      </c>
    </row>
    <row r="56" ht="15.75" customHeight="1">
      <c r="A56" s="31" t="s">
        <v>48</v>
      </c>
      <c r="B56" s="34" t="s">
        <v>139</v>
      </c>
      <c r="C56" s="23">
        <f t="shared" si="2"/>
        <v>1.5</v>
      </c>
      <c r="D56" s="24">
        <v>0.2</v>
      </c>
      <c r="E56" s="25" t="str">
        <f>_xlfn.WORKDAY.INTL(F19, 1, 1,'PONER VACACIONES'!$B$4:$B$24)</f>
        <v>#REF!</v>
      </c>
      <c r="F56" s="25" t="str">
        <f t="shared" si="3"/>
        <v>#REF!</v>
      </c>
      <c r="G56" s="26" t="s">
        <v>140</v>
      </c>
      <c r="H56" s="27">
        <v>1.0</v>
      </c>
      <c r="I56" s="27">
        <v>0.5</v>
      </c>
      <c r="J56" s="27">
        <v>0.0</v>
      </c>
      <c r="K56" s="27">
        <v>0.0</v>
      </c>
      <c r="L56" s="28">
        <f t="shared" ref="L56:O56" si="61">H56</f>
        <v>1</v>
      </c>
      <c r="M56" s="28">
        <f t="shared" si="61"/>
        <v>0.5</v>
      </c>
      <c r="N56" s="28">
        <f t="shared" si="61"/>
        <v>0</v>
      </c>
      <c r="O56" s="28">
        <f t="shared" si="61"/>
        <v>0</v>
      </c>
      <c r="P56" s="29" t="b">
        <v>0</v>
      </c>
    </row>
    <row r="57" ht="15.75" customHeight="1">
      <c r="A57" s="31" t="s">
        <v>48</v>
      </c>
      <c r="B57" s="33" t="s">
        <v>141</v>
      </c>
      <c r="C57" s="23">
        <f t="shared" si="2"/>
        <v>1.5</v>
      </c>
      <c r="D57" s="24">
        <v>0.2</v>
      </c>
      <c r="E57" s="25" t="str">
        <f>_xlfn.WORKDAY.INTL(F19, 1, 1,'PONER VACACIONES'!$B$4:$B$24)</f>
        <v>#REF!</v>
      </c>
      <c r="F57" s="25" t="str">
        <f t="shared" si="3"/>
        <v>#REF!</v>
      </c>
      <c r="G57" s="26" t="s">
        <v>142</v>
      </c>
      <c r="H57" s="27">
        <v>1.0</v>
      </c>
      <c r="I57" s="27">
        <v>0.5</v>
      </c>
      <c r="J57" s="27">
        <v>0.0</v>
      </c>
      <c r="K57" s="27">
        <v>0.0</v>
      </c>
      <c r="L57" s="28">
        <f t="shared" ref="L57:O57" si="62">H57</f>
        <v>1</v>
      </c>
      <c r="M57" s="28">
        <f t="shared" si="62"/>
        <v>0.5</v>
      </c>
      <c r="N57" s="28">
        <f t="shared" si="62"/>
        <v>0</v>
      </c>
      <c r="O57" s="28">
        <f t="shared" si="62"/>
        <v>0</v>
      </c>
      <c r="P57" s="29" t="b">
        <v>0</v>
      </c>
    </row>
    <row r="58" ht="15.75" customHeight="1">
      <c r="A58" s="31" t="s">
        <v>48</v>
      </c>
      <c r="B58" s="33" t="s">
        <v>143</v>
      </c>
      <c r="C58" s="23">
        <f t="shared" si="2"/>
        <v>1.5</v>
      </c>
      <c r="D58" s="24">
        <v>0.2</v>
      </c>
      <c r="E58" s="25" t="str">
        <f>_xlfn.WORKDAY.INTL(F19, 1, 1,'PONER VACACIONES'!$B$4:$B$24)</f>
        <v>#REF!</v>
      </c>
      <c r="F58" s="25" t="str">
        <f t="shared" si="3"/>
        <v>#REF!</v>
      </c>
      <c r="G58" s="26" t="s">
        <v>144</v>
      </c>
      <c r="H58" s="27">
        <v>1.0</v>
      </c>
      <c r="I58" s="27">
        <v>0.5</v>
      </c>
      <c r="J58" s="27">
        <v>0.0</v>
      </c>
      <c r="K58" s="27">
        <v>0.0</v>
      </c>
      <c r="L58" s="28">
        <f t="shared" ref="L58:O58" si="63">H58</f>
        <v>1</v>
      </c>
      <c r="M58" s="28">
        <f t="shared" si="63"/>
        <v>0.5</v>
      </c>
      <c r="N58" s="28">
        <f t="shared" si="63"/>
        <v>0</v>
      </c>
      <c r="O58" s="28">
        <f t="shared" si="63"/>
        <v>0</v>
      </c>
      <c r="P58" s="29" t="b">
        <v>0</v>
      </c>
    </row>
    <row r="59" ht="15.75" customHeight="1">
      <c r="A59" s="31" t="s">
        <v>48</v>
      </c>
      <c r="B59" s="33" t="s">
        <v>145</v>
      </c>
      <c r="C59" s="23">
        <f t="shared" si="2"/>
        <v>2</v>
      </c>
      <c r="D59" s="24">
        <v>0.2</v>
      </c>
      <c r="E59" s="25" t="str">
        <f>_xlfn.WORKDAY.INTL(F50, 1, 1,'PONER VACACIONES'!$B$4:$B$24)</f>
        <v>#REF!</v>
      </c>
      <c r="F59" s="25" t="str">
        <f t="shared" si="3"/>
        <v>#REF!</v>
      </c>
      <c r="G59" s="26" t="s">
        <v>146</v>
      </c>
      <c r="H59" s="27">
        <v>1.0</v>
      </c>
      <c r="I59" s="27">
        <v>1.0</v>
      </c>
      <c r="J59" s="27">
        <v>0.0</v>
      </c>
      <c r="K59" s="27">
        <v>0.0</v>
      </c>
      <c r="L59" s="28">
        <f t="shared" ref="L59:O59" si="64">H59</f>
        <v>1</v>
      </c>
      <c r="M59" s="28">
        <f t="shared" si="64"/>
        <v>1</v>
      </c>
      <c r="N59" s="28">
        <f t="shared" si="64"/>
        <v>0</v>
      </c>
      <c r="O59" s="28">
        <f t="shared" si="64"/>
        <v>0</v>
      </c>
      <c r="P59" s="29" t="b">
        <v>0</v>
      </c>
    </row>
    <row r="60" ht="15.75" customHeight="1">
      <c r="A60" s="31" t="s">
        <v>48</v>
      </c>
      <c r="B60" s="34" t="s">
        <v>147</v>
      </c>
      <c r="C60" s="23">
        <f t="shared" si="2"/>
        <v>1.5</v>
      </c>
      <c r="D60" s="24">
        <v>0.2</v>
      </c>
      <c r="E60" s="25" t="str">
        <f t="shared" ref="E60:E62" si="66">_xlfn.WORKDAY.INTL(F59, 1, 1,'PONER VACACIONES'!$B$4:$B$24)</f>
        <v>#REF!</v>
      </c>
      <c r="F60" s="25" t="str">
        <f t="shared" si="3"/>
        <v>#REF!</v>
      </c>
      <c r="G60" s="26" t="s">
        <v>148</v>
      </c>
      <c r="H60" s="27">
        <v>1.0</v>
      </c>
      <c r="I60" s="27">
        <v>0.5</v>
      </c>
      <c r="J60" s="27">
        <v>0.0</v>
      </c>
      <c r="K60" s="27">
        <v>0.0</v>
      </c>
      <c r="L60" s="28">
        <f t="shared" ref="L60:O60" si="65">H60</f>
        <v>1</v>
      </c>
      <c r="M60" s="28">
        <f t="shared" si="65"/>
        <v>0.5</v>
      </c>
      <c r="N60" s="28">
        <f t="shared" si="65"/>
        <v>0</v>
      </c>
      <c r="O60" s="28">
        <f t="shared" si="65"/>
        <v>0</v>
      </c>
      <c r="P60" s="29" t="b">
        <v>0</v>
      </c>
    </row>
    <row r="61" ht="15.75" customHeight="1">
      <c r="A61" s="31" t="s">
        <v>48</v>
      </c>
      <c r="B61" s="34" t="s">
        <v>149</v>
      </c>
      <c r="C61" s="23">
        <f t="shared" si="2"/>
        <v>2</v>
      </c>
      <c r="D61" s="24">
        <v>0.2</v>
      </c>
      <c r="E61" s="25" t="str">
        <f t="shared" si="66"/>
        <v>#REF!</v>
      </c>
      <c r="F61" s="25" t="str">
        <f t="shared" si="3"/>
        <v>#REF!</v>
      </c>
      <c r="G61" s="26" t="s">
        <v>150</v>
      </c>
      <c r="H61" s="27">
        <v>1.0</v>
      </c>
      <c r="I61" s="27">
        <v>1.0</v>
      </c>
      <c r="J61" s="27">
        <v>0.0</v>
      </c>
      <c r="K61" s="27">
        <v>0.0</v>
      </c>
      <c r="L61" s="28">
        <f t="shared" ref="L61:O61" si="67">H61</f>
        <v>1</v>
      </c>
      <c r="M61" s="28">
        <f t="shared" si="67"/>
        <v>1</v>
      </c>
      <c r="N61" s="28">
        <f t="shared" si="67"/>
        <v>0</v>
      </c>
      <c r="O61" s="28">
        <f t="shared" si="67"/>
        <v>0</v>
      </c>
      <c r="P61" s="29" t="b">
        <v>0</v>
      </c>
    </row>
    <row r="62" ht="15.75" customHeight="1">
      <c r="A62" s="31" t="s">
        <v>48</v>
      </c>
      <c r="B62" s="34" t="s">
        <v>151</v>
      </c>
      <c r="C62" s="23">
        <f t="shared" si="2"/>
        <v>2</v>
      </c>
      <c r="D62" s="24">
        <v>0.2</v>
      </c>
      <c r="E62" s="25" t="str">
        <f t="shared" si="66"/>
        <v>#REF!</v>
      </c>
      <c r="F62" s="25" t="str">
        <f t="shared" si="3"/>
        <v>#REF!</v>
      </c>
      <c r="G62" s="26" t="s">
        <v>152</v>
      </c>
      <c r="H62" s="27">
        <v>1.0</v>
      </c>
      <c r="I62" s="27">
        <v>1.0</v>
      </c>
      <c r="J62" s="27">
        <v>0.0</v>
      </c>
      <c r="K62" s="27">
        <v>0.0</v>
      </c>
      <c r="L62" s="28">
        <f t="shared" ref="L62:O62" si="68">H62</f>
        <v>1</v>
      </c>
      <c r="M62" s="28">
        <f t="shared" si="68"/>
        <v>1</v>
      </c>
      <c r="N62" s="28">
        <f t="shared" si="68"/>
        <v>0</v>
      </c>
      <c r="O62" s="28">
        <f t="shared" si="68"/>
        <v>0</v>
      </c>
      <c r="P62" s="29" t="b">
        <v>0</v>
      </c>
    </row>
    <row r="63" ht="15.75" customHeight="1">
      <c r="A63" s="31" t="s">
        <v>48</v>
      </c>
      <c r="B63" s="33" t="s">
        <v>153</v>
      </c>
      <c r="C63" s="23">
        <f t="shared" si="2"/>
        <v>5</v>
      </c>
      <c r="D63" s="24">
        <v>0.2</v>
      </c>
      <c r="E63" s="25" t="str">
        <f>_xlfn.WORKDAY.INTL(F59, 1, 1,'PONER VACACIONES'!$B$4:$B$24)</f>
        <v>#REF!</v>
      </c>
      <c r="F63" s="25" t="str">
        <f t="shared" si="3"/>
        <v>#REF!</v>
      </c>
      <c r="G63" s="26" t="s">
        <v>154</v>
      </c>
      <c r="H63" s="27">
        <v>3.5</v>
      </c>
      <c r="I63" s="27">
        <v>1.0</v>
      </c>
      <c r="J63" s="27">
        <v>0.5</v>
      </c>
      <c r="K63" s="27">
        <v>0.0</v>
      </c>
      <c r="L63" s="28">
        <f t="shared" ref="L63:O63" si="69">H63</f>
        <v>3.5</v>
      </c>
      <c r="M63" s="28">
        <f t="shared" si="69"/>
        <v>1</v>
      </c>
      <c r="N63" s="28">
        <f t="shared" si="69"/>
        <v>0.5</v>
      </c>
      <c r="O63" s="28">
        <f t="shared" si="69"/>
        <v>0</v>
      </c>
      <c r="P63" s="29" t="b">
        <v>0</v>
      </c>
    </row>
    <row r="64" ht="15.75" customHeight="1">
      <c r="A64" s="31" t="s">
        <v>48</v>
      </c>
      <c r="B64" s="34" t="s">
        <v>155</v>
      </c>
      <c r="C64" s="23">
        <f t="shared" si="2"/>
        <v>5</v>
      </c>
      <c r="D64" s="24">
        <v>0.2</v>
      </c>
      <c r="E64" s="25" t="str">
        <f>_xlfn.WORKDAY.INTL(F62, 1, 1,'PONER VACACIONES'!$B$4:$B$24)</f>
        <v>#REF!</v>
      </c>
      <c r="F64" s="25" t="str">
        <f t="shared" si="3"/>
        <v>#REF!</v>
      </c>
      <c r="G64" s="26" t="s">
        <v>156</v>
      </c>
      <c r="H64" s="27">
        <v>3.5</v>
      </c>
      <c r="I64" s="27">
        <v>1.0</v>
      </c>
      <c r="J64" s="27">
        <v>0.5</v>
      </c>
      <c r="K64" s="27">
        <v>0.0</v>
      </c>
      <c r="L64" s="28">
        <f t="shared" ref="L64:O64" si="70">H64</f>
        <v>3.5</v>
      </c>
      <c r="M64" s="28">
        <f t="shared" si="70"/>
        <v>1</v>
      </c>
      <c r="N64" s="28">
        <f t="shared" si="70"/>
        <v>0.5</v>
      </c>
      <c r="O64" s="28">
        <f t="shared" si="70"/>
        <v>0</v>
      </c>
      <c r="P64" s="29" t="b">
        <v>0</v>
      </c>
    </row>
    <row r="65" ht="15.75" customHeight="1">
      <c r="A65" s="31" t="s">
        <v>48</v>
      </c>
      <c r="B65" s="34" t="s">
        <v>157</v>
      </c>
      <c r="C65" s="23">
        <f t="shared" si="2"/>
        <v>4</v>
      </c>
      <c r="D65" s="24">
        <v>0.2</v>
      </c>
      <c r="E65" s="25" t="str">
        <f t="shared" ref="E65:E68" si="72">_xlfn.WORKDAY.INTL(F64, 1, 1,'PONER VACACIONES'!$B$4:$B$24)</f>
        <v>#REF!</v>
      </c>
      <c r="F65" s="25" t="str">
        <f t="shared" si="3"/>
        <v>#REF!</v>
      </c>
      <c r="G65" s="26" t="s">
        <v>158</v>
      </c>
      <c r="H65" s="27">
        <v>3.0</v>
      </c>
      <c r="I65" s="27">
        <v>1.0</v>
      </c>
      <c r="J65" s="27">
        <v>0.0</v>
      </c>
      <c r="K65" s="27">
        <v>0.0</v>
      </c>
      <c r="L65" s="28">
        <f t="shared" ref="L65:O65" si="71">H65</f>
        <v>3</v>
      </c>
      <c r="M65" s="28">
        <f t="shared" si="71"/>
        <v>1</v>
      </c>
      <c r="N65" s="28">
        <f t="shared" si="71"/>
        <v>0</v>
      </c>
      <c r="O65" s="28">
        <f t="shared" si="71"/>
        <v>0</v>
      </c>
      <c r="P65" s="29" t="b">
        <v>0</v>
      </c>
    </row>
    <row r="66" ht="15.75" customHeight="1">
      <c r="A66" s="31" t="s">
        <v>48</v>
      </c>
      <c r="B66" s="34" t="s">
        <v>159</v>
      </c>
      <c r="C66" s="23">
        <f t="shared" si="2"/>
        <v>5</v>
      </c>
      <c r="D66" s="24">
        <v>0.2</v>
      </c>
      <c r="E66" s="25" t="str">
        <f t="shared" si="72"/>
        <v>#REF!</v>
      </c>
      <c r="F66" s="25" t="str">
        <f t="shared" si="3"/>
        <v>#REF!</v>
      </c>
      <c r="G66" s="26" t="s">
        <v>160</v>
      </c>
      <c r="H66" s="27">
        <v>3.5</v>
      </c>
      <c r="I66" s="27">
        <v>1.0</v>
      </c>
      <c r="J66" s="27">
        <v>0.5</v>
      </c>
      <c r="K66" s="27">
        <v>0.0</v>
      </c>
      <c r="L66" s="28">
        <f t="shared" ref="L66:O66" si="73">H66</f>
        <v>3.5</v>
      </c>
      <c r="M66" s="28">
        <f t="shared" si="73"/>
        <v>1</v>
      </c>
      <c r="N66" s="28">
        <f t="shared" si="73"/>
        <v>0.5</v>
      </c>
      <c r="O66" s="28">
        <f t="shared" si="73"/>
        <v>0</v>
      </c>
      <c r="P66" s="29" t="b">
        <v>0</v>
      </c>
    </row>
    <row r="67" ht="15.75" customHeight="1">
      <c r="A67" s="31" t="s">
        <v>48</v>
      </c>
      <c r="B67" s="34" t="s">
        <v>161</v>
      </c>
      <c r="C67" s="23">
        <f t="shared" si="2"/>
        <v>4</v>
      </c>
      <c r="D67" s="24">
        <v>0.2</v>
      </c>
      <c r="E67" s="25" t="str">
        <f t="shared" si="72"/>
        <v>#REF!</v>
      </c>
      <c r="F67" s="25" t="str">
        <f t="shared" si="3"/>
        <v>#REF!</v>
      </c>
      <c r="G67" s="26" t="s">
        <v>162</v>
      </c>
      <c r="H67" s="27">
        <v>2.5</v>
      </c>
      <c r="I67" s="27">
        <v>1.0</v>
      </c>
      <c r="J67" s="27">
        <v>0.5</v>
      </c>
      <c r="K67" s="27">
        <v>0.0</v>
      </c>
      <c r="L67" s="28">
        <f t="shared" ref="L67:O67" si="74">H67</f>
        <v>2.5</v>
      </c>
      <c r="M67" s="28">
        <f t="shared" si="74"/>
        <v>1</v>
      </c>
      <c r="N67" s="28">
        <f t="shared" si="74"/>
        <v>0.5</v>
      </c>
      <c r="O67" s="28">
        <f t="shared" si="74"/>
        <v>0</v>
      </c>
      <c r="P67" s="29" t="b">
        <v>0</v>
      </c>
    </row>
    <row r="68" ht="15.75" customHeight="1">
      <c r="A68" s="31" t="s">
        <v>48</v>
      </c>
      <c r="B68" s="34" t="s">
        <v>163</v>
      </c>
      <c r="C68" s="23">
        <f t="shared" si="2"/>
        <v>6</v>
      </c>
      <c r="D68" s="24">
        <v>0.2</v>
      </c>
      <c r="E68" s="25" t="str">
        <f t="shared" si="72"/>
        <v>#REF!</v>
      </c>
      <c r="F68" s="25" t="str">
        <f t="shared" si="3"/>
        <v>#REF!</v>
      </c>
      <c r="G68" s="26" t="s">
        <v>164</v>
      </c>
      <c r="H68" s="27">
        <v>3.0</v>
      </c>
      <c r="I68" s="27">
        <v>2.0</v>
      </c>
      <c r="J68" s="27">
        <v>1.0</v>
      </c>
      <c r="K68" s="27">
        <v>0.0</v>
      </c>
      <c r="L68" s="28">
        <f t="shared" ref="L68:O68" si="75">H68</f>
        <v>3</v>
      </c>
      <c r="M68" s="28">
        <f t="shared" si="75"/>
        <v>2</v>
      </c>
      <c r="N68" s="28">
        <f t="shared" si="75"/>
        <v>1</v>
      </c>
      <c r="O68" s="28">
        <f t="shared" si="75"/>
        <v>0</v>
      </c>
      <c r="P68" s="29" t="b">
        <v>0</v>
      </c>
    </row>
    <row r="69" ht="15.75" customHeight="1">
      <c r="A69" s="31" t="s">
        <v>48</v>
      </c>
      <c r="B69" s="33" t="s">
        <v>165</v>
      </c>
      <c r="C69" s="23">
        <f t="shared" si="2"/>
        <v>2.5</v>
      </c>
      <c r="D69" s="24">
        <v>0.2</v>
      </c>
      <c r="E69" s="25" t="str">
        <f>_xlfn.WORKDAY.INTL(F13, 1, 1,'PONER VACACIONES'!$B$4:$B$24)</f>
        <v>#REF!</v>
      </c>
      <c r="F69" s="25" t="str">
        <f t="shared" si="3"/>
        <v>#REF!</v>
      </c>
      <c r="G69" s="26" t="s">
        <v>166</v>
      </c>
      <c r="H69" s="27">
        <v>2.0</v>
      </c>
      <c r="I69" s="27">
        <v>0.5</v>
      </c>
      <c r="J69" s="27">
        <v>0.0</v>
      </c>
      <c r="K69" s="27">
        <v>0.0</v>
      </c>
      <c r="L69" s="28">
        <f t="shared" ref="L69:O69" si="76">H69</f>
        <v>2</v>
      </c>
      <c r="M69" s="28">
        <f t="shared" si="76"/>
        <v>0.5</v>
      </c>
      <c r="N69" s="28">
        <f t="shared" si="76"/>
        <v>0</v>
      </c>
      <c r="O69" s="28">
        <f t="shared" si="76"/>
        <v>0</v>
      </c>
      <c r="P69" s="29" t="b">
        <v>0</v>
      </c>
    </row>
    <row r="70" ht="15.75" customHeight="1">
      <c r="A70" s="31" t="s">
        <v>48</v>
      </c>
      <c r="B70" s="33" t="s">
        <v>167</v>
      </c>
      <c r="C70" s="23">
        <f t="shared" si="2"/>
        <v>4</v>
      </c>
      <c r="D70" s="24">
        <v>0.2</v>
      </c>
      <c r="E70" s="25" t="str">
        <f>_xlfn.WORKDAY.INTL(F13, 1, 1,'PONER VACACIONES'!$B$4:$B$24)</f>
        <v>#REF!</v>
      </c>
      <c r="F70" s="25" t="str">
        <f t="shared" si="3"/>
        <v>#REF!</v>
      </c>
      <c r="G70" s="26" t="s">
        <v>166</v>
      </c>
      <c r="H70" s="27">
        <v>3.0</v>
      </c>
      <c r="I70" s="27">
        <v>1.0</v>
      </c>
      <c r="J70" s="27">
        <v>0.0</v>
      </c>
      <c r="K70" s="27">
        <v>0.0</v>
      </c>
      <c r="L70" s="28">
        <f t="shared" ref="L70:O70" si="77">H70</f>
        <v>3</v>
      </c>
      <c r="M70" s="28">
        <f t="shared" si="77"/>
        <v>1</v>
      </c>
      <c r="N70" s="28">
        <f t="shared" si="77"/>
        <v>0</v>
      </c>
      <c r="O70" s="28">
        <f t="shared" si="77"/>
        <v>0</v>
      </c>
      <c r="P70" s="29" t="b">
        <v>0</v>
      </c>
    </row>
    <row r="71" ht="15.75" customHeight="1">
      <c r="A71" s="31" t="s">
        <v>48</v>
      </c>
      <c r="B71" s="33" t="s">
        <v>168</v>
      </c>
      <c r="C71" s="23">
        <f t="shared" si="2"/>
        <v>4</v>
      </c>
      <c r="D71" s="24">
        <v>0.2</v>
      </c>
      <c r="E71" s="25" t="str">
        <f>_xlfn.WORKDAY.INTL(F70, 1, 1,'PONER VACACIONES'!$B$4:$B$24)</f>
        <v>#REF!</v>
      </c>
      <c r="F71" s="25" t="str">
        <f t="shared" si="3"/>
        <v>#REF!</v>
      </c>
      <c r="G71" s="26" t="s">
        <v>169</v>
      </c>
      <c r="H71" s="27">
        <v>3.0</v>
      </c>
      <c r="I71" s="27">
        <v>1.0</v>
      </c>
      <c r="J71" s="27">
        <v>0.0</v>
      </c>
      <c r="K71" s="27">
        <v>0.0</v>
      </c>
      <c r="L71" s="28">
        <f t="shared" ref="L71:O71" si="78">H71</f>
        <v>3</v>
      </c>
      <c r="M71" s="28">
        <f t="shared" si="78"/>
        <v>1</v>
      </c>
      <c r="N71" s="28">
        <f t="shared" si="78"/>
        <v>0</v>
      </c>
      <c r="O71" s="28">
        <f t="shared" si="78"/>
        <v>0</v>
      </c>
      <c r="P71" s="29" t="b">
        <v>0</v>
      </c>
    </row>
    <row r="72" ht="15.75" customHeight="1">
      <c r="A72" s="31" t="s">
        <v>48</v>
      </c>
      <c r="B72" s="33" t="s">
        <v>170</v>
      </c>
      <c r="C72" s="23">
        <f t="shared" si="2"/>
        <v>2.5</v>
      </c>
      <c r="D72" s="24">
        <v>0.2</v>
      </c>
      <c r="E72" s="25" t="str">
        <f t="shared" ref="E72:E73" si="80">_xlfn.WORKDAY.INTL(F70, 1, 1,'PONER VACACIONES'!$B$4:$B$24)</f>
        <v>#REF!</v>
      </c>
      <c r="F72" s="25" t="str">
        <f t="shared" si="3"/>
        <v>#REF!</v>
      </c>
      <c r="G72" s="26" t="s">
        <v>166</v>
      </c>
      <c r="H72" s="27">
        <v>2.0</v>
      </c>
      <c r="I72" s="27">
        <v>0.5</v>
      </c>
      <c r="J72" s="27">
        <v>0.0</v>
      </c>
      <c r="K72" s="27">
        <v>0.0</v>
      </c>
      <c r="L72" s="28">
        <f t="shared" ref="L72:O72" si="79">H72</f>
        <v>2</v>
      </c>
      <c r="M72" s="28">
        <f t="shared" si="79"/>
        <v>0.5</v>
      </c>
      <c r="N72" s="28">
        <f t="shared" si="79"/>
        <v>0</v>
      </c>
      <c r="O72" s="28">
        <f t="shared" si="79"/>
        <v>0</v>
      </c>
      <c r="P72" s="29" t="b">
        <v>0</v>
      </c>
    </row>
    <row r="73" ht="15.75" customHeight="1">
      <c r="A73" s="31" t="s">
        <v>48</v>
      </c>
      <c r="B73" s="33" t="s">
        <v>171</v>
      </c>
      <c r="C73" s="23">
        <f t="shared" si="2"/>
        <v>2.5</v>
      </c>
      <c r="D73" s="24">
        <v>0.2</v>
      </c>
      <c r="E73" s="25" t="str">
        <f t="shared" si="80"/>
        <v>#REF!</v>
      </c>
      <c r="F73" s="25" t="str">
        <f t="shared" si="3"/>
        <v>#REF!</v>
      </c>
      <c r="G73" s="26" t="s">
        <v>172</v>
      </c>
      <c r="H73" s="27">
        <v>2.0</v>
      </c>
      <c r="I73" s="27">
        <v>0.5</v>
      </c>
      <c r="J73" s="27">
        <v>0.0</v>
      </c>
      <c r="K73" s="27">
        <v>0.0</v>
      </c>
      <c r="L73" s="28">
        <f t="shared" ref="L73:O73" si="81">H73</f>
        <v>2</v>
      </c>
      <c r="M73" s="28">
        <f t="shared" si="81"/>
        <v>0.5</v>
      </c>
      <c r="N73" s="28">
        <f t="shared" si="81"/>
        <v>0</v>
      </c>
      <c r="O73" s="28">
        <f t="shared" si="81"/>
        <v>0</v>
      </c>
      <c r="P73" s="29" t="b">
        <v>0</v>
      </c>
    </row>
    <row r="74" ht="15.75" customHeight="1">
      <c r="A74" s="31" t="s">
        <v>48</v>
      </c>
      <c r="B74" s="33" t="s">
        <v>173</v>
      </c>
      <c r="C74" s="23">
        <f t="shared" si="2"/>
        <v>3.5</v>
      </c>
      <c r="D74" s="24">
        <v>0.2</v>
      </c>
      <c r="E74" s="25" t="str">
        <f>_xlfn.WORKDAY.INTL(F71, 1, 1,'PONER VACACIONES'!$B$4:$B$24)</f>
        <v>#REF!</v>
      </c>
      <c r="F74" s="25" t="str">
        <f t="shared" si="3"/>
        <v>#REF!</v>
      </c>
      <c r="G74" s="26" t="s">
        <v>174</v>
      </c>
      <c r="H74" s="27">
        <v>2.5</v>
      </c>
      <c r="I74" s="27">
        <v>1.0</v>
      </c>
      <c r="J74" s="27">
        <v>0.0</v>
      </c>
      <c r="K74" s="27">
        <v>0.0</v>
      </c>
      <c r="L74" s="28">
        <f t="shared" ref="L74:O74" si="82">H74</f>
        <v>2.5</v>
      </c>
      <c r="M74" s="28">
        <f t="shared" si="82"/>
        <v>1</v>
      </c>
      <c r="N74" s="28">
        <f t="shared" si="82"/>
        <v>0</v>
      </c>
      <c r="O74" s="28">
        <f t="shared" si="82"/>
        <v>0</v>
      </c>
      <c r="P74" s="29" t="b">
        <v>0</v>
      </c>
    </row>
    <row r="75" ht="15.75" customHeight="1">
      <c r="A75" s="31" t="s">
        <v>48</v>
      </c>
      <c r="B75" s="33" t="s">
        <v>175</v>
      </c>
      <c r="C75" s="23">
        <f t="shared" si="2"/>
        <v>2</v>
      </c>
      <c r="D75" s="24">
        <v>0.2</v>
      </c>
      <c r="E75" s="25" t="str">
        <f>_xlfn.WORKDAY.INTL(F74, 1, 1,'PONER VACACIONES'!$B$4:$B$24)</f>
        <v>#REF!</v>
      </c>
      <c r="F75" s="25" t="str">
        <f t="shared" si="3"/>
        <v>#REF!</v>
      </c>
      <c r="G75" s="26" t="s">
        <v>176</v>
      </c>
      <c r="H75" s="27">
        <v>1.5</v>
      </c>
      <c r="I75" s="27">
        <v>0.5</v>
      </c>
      <c r="J75" s="27">
        <v>0.0</v>
      </c>
      <c r="K75" s="27">
        <v>0.0</v>
      </c>
      <c r="L75" s="28">
        <f t="shared" ref="L75:O75" si="83">H75</f>
        <v>1.5</v>
      </c>
      <c r="M75" s="28">
        <f t="shared" si="83"/>
        <v>0.5</v>
      </c>
      <c r="N75" s="28">
        <f t="shared" si="83"/>
        <v>0</v>
      </c>
      <c r="O75" s="28">
        <f t="shared" si="83"/>
        <v>0</v>
      </c>
      <c r="P75" s="29" t="b">
        <v>0</v>
      </c>
    </row>
    <row r="76" ht="15.75" customHeight="1">
      <c r="A76" s="31" t="s">
        <v>48</v>
      </c>
      <c r="B76" s="33" t="s">
        <v>177</v>
      </c>
      <c r="C76" s="23">
        <f t="shared" si="2"/>
        <v>2</v>
      </c>
      <c r="D76" s="24">
        <v>0.2</v>
      </c>
      <c r="E76" s="25" t="str">
        <f>_xlfn.WORKDAY.INTL(F74, 1, 1,'PONER VACACIONES'!$B$4:$B$24)</f>
        <v>#REF!</v>
      </c>
      <c r="F76" s="25" t="str">
        <f t="shared" si="3"/>
        <v>#REF!</v>
      </c>
      <c r="G76" s="26" t="s">
        <v>178</v>
      </c>
      <c r="H76" s="27">
        <v>1.5</v>
      </c>
      <c r="I76" s="27">
        <v>0.5</v>
      </c>
      <c r="J76" s="27">
        <v>0.0</v>
      </c>
      <c r="K76" s="27">
        <v>0.0</v>
      </c>
      <c r="L76" s="28">
        <f t="shared" ref="L76:O76" si="84">H76</f>
        <v>1.5</v>
      </c>
      <c r="M76" s="28">
        <f t="shared" si="84"/>
        <v>0.5</v>
      </c>
      <c r="N76" s="28">
        <f t="shared" si="84"/>
        <v>0</v>
      </c>
      <c r="O76" s="28">
        <f t="shared" si="84"/>
        <v>0</v>
      </c>
      <c r="P76" s="29" t="b">
        <v>0</v>
      </c>
    </row>
    <row r="77" ht="15.75" customHeight="1">
      <c r="A77" s="31" t="s">
        <v>48</v>
      </c>
      <c r="B77" s="33" t="s">
        <v>179</v>
      </c>
      <c r="C77" s="23">
        <f t="shared" si="2"/>
        <v>1.5</v>
      </c>
      <c r="D77" s="24">
        <v>0.2</v>
      </c>
      <c r="E77" s="25" t="str">
        <f>_xlfn.WORKDAY.INTL(F74, 1, 1,'PONER VACACIONES'!$B$4:$B$24)</f>
        <v>#REF!</v>
      </c>
      <c r="F77" s="25" t="str">
        <f t="shared" si="3"/>
        <v>#REF!</v>
      </c>
      <c r="G77" s="26" t="s">
        <v>180</v>
      </c>
      <c r="H77" s="27">
        <v>1.0</v>
      </c>
      <c r="I77" s="27">
        <v>0.5</v>
      </c>
      <c r="J77" s="27">
        <v>0.0</v>
      </c>
      <c r="K77" s="27">
        <v>0.0</v>
      </c>
      <c r="L77" s="28">
        <f t="shared" ref="L77:O77" si="85">H77</f>
        <v>1</v>
      </c>
      <c r="M77" s="28">
        <f t="shared" si="85"/>
        <v>0.5</v>
      </c>
      <c r="N77" s="28">
        <f t="shared" si="85"/>
        <v>0</v>
      </c>
      <c r="O77" s="28">
        <f t="shared" si="85"/>
        <v>0</v>
      </c>
      <c r="P77" s="29" t="b">
        <v>0</v>
      </c>
    </row>
    <row r="78" ht="15.75" customHeight="1">
      <c r="A78" s="31" t="s">
        <v>48</v>
      </c>
      <c r="B78" s="33" t="s">
        <v>181</v>
      </c>
      <c r="C78" s="23">
        <f t="shared" si="2"/>
        <v>1.5</v>
      </c>
      <c r="D78" s="24">
        <v>0.2</v>
      </c>
      <c r="E78" s="25" t="str">
        <f>_xlfn.WORKDAY.INTL(F74, 1, 1,'PONER VACACIONES'!$B$4:$B$24)</f>
        <v>#REF!</v>
      </c>
      <c r="F78" s="25" t="str">
        <f t="shared" si="3"/>
        <v>#REF!</v>
      </c>
      <c r="G78" s="26" t="s">
        <v>182</v>
      </c>
      <c r="H78" s="27">
        <v>1.0</v>
      </c>
      <c r="I78" s="27">
        <v>0.5</v>
      </c>
      <c r="J78" s="27">
        <v>0.0</v>
      </c>
      <c r="K78" s="27">
        <v>0.0</v>
      </c>
      <c r="L78" s="28">
        <f t="shared" ref="L78:O78" si="86">H78</f>
        <v>1</v>
      </c>
      <c r="M78" s="28">
        <f t="shared" si="86"/>
        <v>0.5</v>
      </c>
      <c r="N78" s="28">
        <f t="shared" si="86"/>
        <v>0</v>
      </c>
      <c r="O78" s="28">
        <f t="shared" si="86"/>
        <v>0</v>
      </c>
      <c r="P78" s="29" t="b">
        <v>0</v>
      </c>
    </row>
    <row r="79" ht="15.75" customHeight="1">
      <c r="A79" s="31" t="s">
        <v>48</v>
      </c>
      <c r="B79" s="33" t="s">
        <v>183</v>
      </c>
      <c r="C79" s="23">
        <f t="shared" si="2"/>
        <v>1.5</v>
      </c>
      <c r="D79" s="24">
        <v>0.2</v>
      </c>
      <c r="E79" s="25" t="str">
        <f>_xlfn.WORKDAY.INTL(F74, 1, 1,'PONER VACACIONES'!$B$4:$B$24)</f>
        <v>#REF!</v>
      </c>
      <c r="F79" s="25" t="str">
        <f t="shared" si="3"/>
        <v>#REF!</v>
      </c>
      <c r="G79" s="26" t="s">
        <v>184</v>
      </c>
      <c r="H79" s="27">
        <v>1.0</v>
      </c>
      <c r="I79" s="27">
        <v>0.5</v>
      </c>
      <c r="J79" s="27">
        <v>0.0</v>
      </c>
      <c r="K79" s="27">
        <v>0.0</v>
      </c>
      <c r="L79" s="28">
        <f t="shared" ref="L79:O79" si="87">H79</f>
        <v>1</v>
      </c>
      <c r="M79" s="28">
        <f t="shared" si="87"/>
        <v>0.5</v>
      </c>
      <c r="N79" s="28">
        <f t="shared" si="87"/>
        <v>0</v>
      </c>
      <c r="O79" s="28">
        <f t="shared" si="87"/>
        <v>0</v>
      </c>
      <c r="P79" s="29" t="b">
        <v>0</v>
      </c>
    </row>
    <row r="80" ht="15.75" customHeight="1">
      <c r="A80" s="30" t="s">
        <v>185</v>
      </c>
      <c r="B80" s="22" t="s">
        <v>186</v>
      </c>
      <c r="C80" s="23">
        <f t="shared" si="2"/>
        <v>10</v>
      </c>
      <c r="D80" s="24">
        <v>0.8</v>
      </c>
      <c r="E80" s="25" t="str">
        <f>_xlfn.WORKDAY.INTL(F68+1, 1, 1,'PONER VACACIONES'!$B$4:$B$24)</f>
        <v>#REF!</v>
      </c>
      <c r="F80" s="25" t="str">
        <f t="shared" si="3"/>
        <v>#REF!</v>
      </c>
      <c r="G80" s="26" t="s">
        <v>187</v>
      </c>
      <c r="H80" s="27">
        <v>0.0</v>
      </c>
      <c r="I80" s="27">
        <v>0.0</v>
      </c>
      <c r="J80" s="27">
        <v>0.0</v>
      </c>
      <c r="K80" s="27">
        <v>10.0</v>
      </c>
      <c r="L80" s="28">
        <f t="shared" ref="L80:O80" si="88">H80</f>
        <v>0</v>
      </c>
      <c r="M80" s="28">
        <f t="shared" si="88"/>
        <v>0</v>
      </c>
      <c r="N80" s="28">
        <f t="shared" si="88"/>
        <v>0</v>
      </c>
      <c r="O80" s="28">
        <f t="shared" si="88"/>
        <v>10</v>
      </c>
      <c r="P80" s="29" t="b">
        <v>0</v>
      </c>
    </row>
    <row r="81" ht="15.75" customHeight="1">
      <c r="A81" s="30" t="s">
        <v>185</v>
      </c>
      <c r="B81" s="22" t="s">
        <v>188</v>
      </c>
      <c r="C81" s="23">
        <f t="shared" si="2"/>
        <v>10</v>
      </c>
      <c r="D81" s="24">
        <v>0.8</v>
      </c>
      <c r="E81" s="25" t="str">
        <f>_xlfn.WORKDAY.INTL(F80, 1, 1,'PONER VACACIONES'!$B$4:$B$24)</f>
        <v>#REF!</v>
      </c>
      <c r="F81" s="25" t="str">
        <f t="shared" si="3"/>
        <v>#REF!</v>
      </c>
      <c r="G81" s="26" t="s">
        <v>189</v>
      </c>
      <c r="H81" s="27">
        <v>0.0</v>
      </c>
      <c r="I81" s="27">
        <v>0.0</v>
      </c>
      <c r="J81" s="27">
        <v>0.0</v>
      </c>
      <c r="K81" s="27">
        <v>10.0</v>
      </c>
      <c r="L81" s="28">
        <f t="shared" ref="L81:O81" si="89">H81</f>
        <v>0</v>
      </c>
      <c r="M81" s="28">
        <f t="shared" si="89"/>
        <v>0</v>
      </c>
      <c r="N81" s="28">
        <f t="shared" si="89"/>
        <v>0</v>
      </c>
      <c r="O81" s="28">
        <f t="shared" si="89"/>
        <v>10</v>
      </c>
      <c r="P81" s="29" t="b">
        <v>0</v>
      </c>
    </row>
    <row r="82" ht="15.75" customHeight="1">
      <c r="A82" s="30" t="s">
        <v>190</v>
      </c>
      <c r="B82" s="35" t="s">
        <v>191</v>
      </c>
      <c r="C82" s="23">
        <f t="shared" si="2"/>
        <v>1.5</v>
      </c>
      <c r="D82" s="24">
        <v>0.2</v>
      </c>
      <c r="E82" s="25" t="str">
        <f>_xlfn.WORKDAY.INTL(F81+1, 1, 1,'PONER VACACIONES'!$B$4:$B$24)</f>
        <v>#REF!</v>
      </c>
      <c r="F82" s="25" t="str">
        <f t="shared" si="3"/>
        <v>#REF!</v>
      </c>
      <c r="G82" s="26" t="s">
        <v>192</v>
      </c>
      <c r="H82" s="27">
        <v>0.0</v>
      </c>
      <c r="I82" s="27">
        <v>1.0</v>
      </c>
      <c r="J82" s="27">
        <v>0.5</v>
      </c>
      <c r="K82" s="27">
        <v>0.0</v>
      </c>
      <c r="L82" s="28">
        <f t="shared" ref="L82:O82" si="90">H82</f>
        <v>0</v>
      </c>
      <c r="M82" s="28">
        <f t="shared" si="90"/>
        <v>1</v>
      </c>
      <c r="N82" s="28">
        <f t="shared" si="90"/>
        <v>0.5</v>
      </c>
      <c r="O82" s="28">
        <f t="shared" si="90"/>
        <v>0</v>
      </c>
      <c r="P82" s="29" t="b">
        <v>0</v>
      </c>
    </row>
    <row r="83" ht="15.75" customHeight="1">
      <c r="A83" s="30" t="s">
        <v>190</v>
      </c>
      <c r="B83" s="35" t="s">
        <v>193</v>
      </c>
      <c r="C83" s="23">
        <f t="shared" si="2"/>
        <v>3</v>
      </c>
      <c r="D83" s="24">
        <v>0.2</v>
      </c>
      <c r="E83" s="25" t="str">
        <f t="shared" ref="E83:E85" si="92">_xlfn.WORKDAY.INTL(F82, 1, 1,'PONER VACACIONES'!$B$4:$B$24)</f>
        <v>#REF!</v>
      </c>
      <c r="F83" s="25" t="str">
        <f t="shared" si="3"/>
        <v>#REF!</v>
      </c>
      <c r="G83" s="26" t="s">
        <v>194</v>
      </c>
      <c r="H83" s="27">
        <v>1.0</v>
      </c>
      <c r="I83" s="27">
        <v>2.0</v>
      </c>
      <c r="J83" s="27">
        <v>0.0</v>
      </c>
      <c r="K83" s="27">
        <v>0.0</v>
      </c>
      <c r="L83" s="28">
        <f t="shared" ref="L83:O83" si="91">H83</f>
        <v>1</v>
      </c>
      <c r="M83" s="28">
        <f t="shared" si="91"/>
        <v>2</v>
      </c>
      <c r="N83" s="28">
        <f t="shared" si="91"/>
        <v>0</v>
      </c>
      <c r="O83" s="28">
        <f t="shared" si="91"/>
        <v>0</v>
      </c>
      <c r="P83" s="29" t="b">
        <v>0</v>
      </c>
    </row>
    <row r="84" ht="15.75" customHeight="1">
      <c r="A84" s="30" t="s">
        <v>190</v>
      </c>
      <c r="B84" s="35" t="s">
        <v>195</v>
      </c>
      <c r="C84" s="23">
        <f t="shared" si="2"/>
        <v>2</v>
      </c>
      <c r="D84" s="24">
        <v>0.2</v>
      </c>
      <c r="E84" s="25" t="str">
        <f t="shared" si="92"/>
        <v>#REF!</v>
      </c>
      <c r="F84" s="25" t="str">
        <f t="shared" si="3"/>
        <v>#REF!</v>
      </c>
      <c r="G84" s="26" t="s">
        <v>196</v>
      </c>
      <c r="H84" s="27">
        <v>0.0</v>
      </c>
      <c r="I84" s="27">
        <v>2.0</v>
      </c>
      <c r="J84" s="27">
        <v>0.0</v>
      </c>
      <c r="K84" s="27">
        <v>0.0</v>
      </c>
      <c r="L84" s="28">
        <f t="shared" ref="L84:O84" si="93">H84</f>
        <v>0</v>
      </c>
      <c r="M84" s="28">
        <f t="shared" si="93"/>
        <v>2</v>
      </c>
      <c r="N84" s="28">
        <f t="shared" si="93"/>
        <v>0</v>
      </c>
      <c r="O84" s="28">
        <f t="shared" si="93"/>
        <v>0</v>
      </c>
      <c r="P84" s="29" t="b">
        <v>0</v>
      </c>
    </row>
    <row r="85" ht="15.75" customHeight="1">
      <c r="A85" s="31" t="s">
        <v>197</v>
      </c>
      <c r="B85" s="33" t="s">
        <v>198</v>
      </c>
      <c r="C85" s="23">
        <f t="shared" si="2"/>
        <v>5</v>
      </c>
      <c r="D85" s="24">
        <v>0.4</v>
      </c>
      <c r="E85" s="25" t="str">
        <f t="shared" si="92"/>
        <v>#REF!</v>
      </c>
      <c r="F85" s="25" t="str">
        <f t="shared" si="3"/>
        <v>#REF!</v>
      </c>
      <c r="G85" s="26" t="s">
        <v>199</v>
      </c>
      <c r="H85" s="27">
        <v>2.0</v>
      </c>
      <c r="I85" s="27">
        <v>3.0</v>
      </c>
      <c r="J85" s="27">
        <v>0.0</v>
      </c>
      <c r="K85" s="27">
        <v>0.0</v>
      </c>
      <c r="L85" s="28">
        <f t="shared" ref="L85:O85" si="94">H85</f>
        <v>2</v>
      </c>
      <c r="M85" s="28">
        <f t="shared" si="94"/>
        <v>3</v>
      </c>
      <c r="N85" s="28">
        <f t="shared" si="94"/>
        <v>0</v>
      </c>
      <c r="O85" s="28">
        <f t="shared" si="94"/>
        <v>0</v>
      </c>
      <c r="P85" s="29" t="b">
        <v>0</v>
      </c>
    </row>
    <row r="86" ht="15.75" customHeight="1">
      <c r="A86" s="31" t="s">
        <v>197</v>
      </c>
      <c r="B86" s="33" t="s">
        <v>200</v>
      </c>
      <c r="C86" s="23">
        <f t="shared" si="2"/>
        <v>8</v>
      </c>
      <c r="D86" s="24">
        <v>96.0</v>
      </c>
      <c r="E86" s="25" t="str">
        <f>_xlfn.WORKDAY.INTL(F85+30, 1, 1,'PONER VACACIONES'!$B$4:$B$24)</f>
        <v>#REF!</v>
      </c>
      <c r="F86" s="25" t="str">
        <f t="shared" si="3"/>
        <v>#REF!</v>
      </c>
      <c r="G86" s="26" t="s">
        <v>201</v>
      </c>
      <c r="H86" s="27">
        <v>3.0</v>
      </c>
      <c r="I86" s="27">
        <v>4.0</v>
      </c>
      <c r="J86" s="27">
        <v>1.0</v>
      </c>
      <c r="K86" s="27">
        <v>0.0</v>
      </c>
      <c r="L86" s="28">
        <f t="shared" ref="L86:O86" si="95">H86</f>
        <v>3</v>
      </c>
      <c r="M86" s="28">
        <f t="shared" si="95"/>
        <v>4</v>
      </c>
      <c r="N86" s="28">
        <f t="shared" si="95"/>
        <v>1</v>
      </c>
      <c r="O86" s="28">
        <f t="shared" si="95"/>
        <v>0</v>
      </c>
      <c r="P86" s="29" t="b">
        <v>0</v>
      </c>
    </row>
    <row r="87" ht="15.75" customHeight="1">
      <c r="A87" s="31" t="s">
        <v>197</v>
      </c>
      <c r="B87" s="33" t="s">
        <v>202</v>
      </c>
      <c r="C87" s="23">
        <f t="shared" si="2"/>
        <v>3</v>
      </c>
      <c r="D87" s="24">
        <v>0.2</v>
      </c>
      <c r="E87" s="25" t="str">
        <f t="shared" ref="E87:E88" si="97">_xlfn.WORKDAY.INTL(F86, 1, 1,'PONER VACACIONES'!$B$4:$B$24)</f>
        <v>#REF!</v>
      </c>
      <c r="F87" s="25" t="str">
        <f t="shared" si="3"/>
        <v>#REF!</v>
      </c>
      <c r="G87" s="26" t="s">
        <v>203</v>
      </c>
      <c r="H87" s="27">
        <v>1.0</v>
      </c>
      <c r="I87" s="27">
        <v>2.0</v>
      </c>
      <c r="J87" s="27">
        <v>0.0</v>
      </c>
      <c r="K87" s="27">
        <v>0.0</v>
      </c>
      <c r="L87" s="28">
        <f t="shared" ref="L87:O87" si="96">H87</f>
        <v>1</v>
      </c>
      <c r="M87" s="28">
        <f t="shared" si="96"/>
        <v>2</v>
      </c>
      <c r="N87" s="28">
        <f t="shared" si="96"/>
        <v>0</v>
      </c>
      <c r="O87" s="28">
        <f t="shared" si="96"/>
        <v>0</v>
      </c>
      <c r="P87" s="29" t="b">
        <v>0</v>
      </c>
    </row>
    <row r="88" ht="15.75" customHeight="1">
      <c r="A88" s="31" t="s">
        <v>197</v>
      </c>
      <c r="B88" s="33" t="s">
        <v>204</v>
      </c>
      <c r="C88" s="23">
        <f t="shared" si="2"/>
        <v>4</v>
      </c>
      <c r="D88" s="24">
        <v>0.2</v>
      </c>
      <c r="E88" s="25" t="str">
        <f t="shared" si="97"/>
        <v>#REF!</v>
      </c>
      <c r="F88" s="25" t="str">
        <f t="shared" si="3"/>
        <v>#REF!</v>
      </c>
      <c r="G88" s="26" t="s">
        <v>205</v>
      </c>
      <c r="H88" s="27">
        <v>3.0</v>
      </c>
      <c r="I88" s="27">
        <v>1.0</v>
      </c>
      <c r="J88" s="27">
        <v>0.0</v>
      </c>
      <c r="K88" s="27">
        <v>0.0</v>
      </c>
      <c r="L88" s="28">
        <f t="shared" ref="L88:O88" si="98">H88</f>
        <v>3</v>
      </c>
      <c r="M88" s="28">
        <f t="shared" si="98"/>
        <v>1</v>
      </c>
      <c r="N88" s="28">
        <f t="shared" si="98"/>
        <v>0</v>
      </c>
      <c r="O88" s="28">
        <f t="shared" si="98"/>
        <v>0</v>
      </c>
      <c r="P88" s="29" t="b">
        <v>0</v>
      </c>
    </row>
    <row r="89" ht="15.75" customHeight="1">
      <c r="A89" s="30" t="s">
        <v>206</v>
      </c>
      <c r="B89" s="22" t="s">
        <v>207</v>
      </c>
      <c r="C89" s="23">
        <f t="shared" si="2"/>
        <v>5</v>
      </c>
      <c r="D89" s="24">
        <v>0.4</v>
      </c>
      <c r="E89" s="25" t="str">
        <f>_xlfn.WORKDAY.INTL(F88+5, 1, 1,'PONER VACACIONES'!$B$4:$B$24)</f>
        <v>#REF!</v>
      </c>
      <c r="F89" s="25" t="str">
        <f t="shared" si="3"/>
        <v>#REF!</v>
      </c>
      <c r="G89" s="26" t="s">
        <v>208</v>
      </c>
      <c r="H89" s="27">
        <v>0.0</v>
      </c>
      <c r="I89" s="27">
        <v>0.0</v>
      </c>
      <c r="J89" s="27">
        <v>0.0</v>
      </c>
      <c r="K89" s="27">
        <v>5.0</v>
      </c>
      <c r="L89" s="28">
        <f t="shared" ref="L89:O89" si="99">H89</f>
        <v>0</v>
      </c>
      <c r="M89" s="28">
        <f t="shared" si="99"/>
        <v>0</v>
      </c>
      <c r="N89" s="28">
        <f t="shared" si="99"/>
        <v>0</v>
      </c>
      <c r="O89" s="28">
        <f t="shared" si="99"/>
        <v>5</v>
      </c>
      <c r="P89" s="29" t="b">
        <v>0</v>
      </c>
    </row>
    <row r="90" ht="15.75" customHeight="1">
      <c r="A90" s="30" t="s">
        <v>206</v>
      </c>
      <c r="B90" s="22" t="s">
        <v>209</v>
      </c>
      <c r="C90" s="23">
        <f t="shared" si="2"/>
        <v>27</v>
      </c>
      <c r="D90" s="24">
        <v>2.0</v>
      </c>
      <c r="E90" s="25" t="str">
        <f t="shared" ref="E90:E94" si="101">_xlfn.WORKDAY.INTL(F89, 1, 1,'PONER VACACIONES'!$B$4:$B$24)</f>
        <v>#REF!</v>
      </c>
      <c r="F90" s="25" t="str">
        <f t="shared" si="3"/>
        <v>#REF!</v>
      </c>
      <c r="G90" s="26" t="s">
        <v>210</v>
      </c>
      <c r="H90" s="27">
        <v>0.0</v>
      </c>
      <c r="I90" s="27">
        <v>0.0</v>
      </c>
      <c r="J90" s="27">
        <v>0.0</v>
      </c>
      <c r="K90" s="27">
        <v>27.0</v>
      </c>
      <c r="L90" s="28">
        <f t="shared" ref="L90:O90" si="100">H90</f>
        <v>0</v>
      </c>
      <c r="M90" s="28">
        <f t="shared" si="100"/>
        <v>0</v>
      </c>
      <c r="N90" s="28">
        <f t="shared" si="100"/>
        <v>0</v>
      </c>
      <c r="O90" s="28">
        <f t="shared" si="100"/>
        <v>27</v>
      </c>
      <c r="P90" s="29" t="b">
        <v>0</v>
      </c>
    </row>
    <row r="91" ht="15.75" customHeight="1">
      <c r="A91" s="30" t="s">
        <v>211</v>
      </c>
      <c r="B91" s="22" t="s">
        <v>212</v>
      </c>
      <c r="C91" s="23">
        <f t="shared" si="2"/>
        <v>2</v>
      </c>
      <c r="D91" s="24">
        <v>0.2</v>
      </c>
      <c r="E91" s="25" t="str">
        <f t="shared" si="101"/>
        <v>#REF!</v>
      </c>
      <c r="F91" s="25" t="str">
        <f t="shared" si="3"/>
        <v>#REF!</v>
      </c>
      <c r="G91" s="26" t="s">
        <v>213</v>
      </c>
      <c r="H91" s="27">
        <v>0.0</v>
      </c>
      <c r="I91" s="27">
        <v>1.5</v>
      </c>
      <c r="J91" s="27">
        <v>0.5</v>
      </c>
      <c r="K91" s="27">
        <v>0.0</v>
      </c>
      <c r="L91" s="28">
        <f t="shared" ref="L91:O91" si="102">H91</f>
        <v>0</v>
      </c>
      <c r="M91" s="28">
        <f t="shared" si="102"/>
        <v>1.5</v>
      </c>
      <c r="N91" s="28">
        <f t="shared" si="102"/>
        <v>0.5</v>
      </c>
      <c r="O91" s="28">
        <f t="shared" si="102"/>
        <v>0</v>
      </c>
      <c r="P91" s="29" t="b">
        <v>0</v>
      </c>
    </row>
    <row r="92" ht="15.75" customHeight="1">
      <c r="A92" s="30" t="s">
        <v>211</v>
      </c>
      <c r="B92" s="22" t="s">
        <v>214</v>
      </c>
      <c r="C92" s="23">
        <f t="shared" si="2"/>
        <v>5</v>
      </c>
      <c r="D92" s="24">
        <v>0.4</v>
      </c>
      <c r="E92" s="25" t="str">
        <f t="shared" si="101"/>
        <v>#REF!</v>
      </c>
      <c r="F92" s="25" t="str">
        <f t="shared" si="3"/>
        <v>#REF!</v>
      </c>
      <c r="G92" s="26" t="s">
        <v>215</v>
      </c>
      <c r="H92" s="27">
        <v>2.0</v>
      </c>
      <c r="I92" s="27">
        <v>3.0</v>
      </c>
      <c r="J92" s="27">
        <v>0.0</v>
      </c>
      <c r="K92" s="27">
        <v>0.0</v>
      </c>
      <c r="L92" s="28">
        <f t="shared" ref="L92:O92" si="103">H92</f>
        <v>2</v>
      </c>
      <c r="M92" s="28">
        <f t="shared" si="103"/>
        <v>3</v>
      </c>
      <c r="N92" s="28">
        <f t="shared" si="103"/>
        <v>0</v>
      </c>
      <c r="O92" s="28">
        <f t="shared" si="103"/>
        <v>0</v>
      </c>
      <c r="P92" s="29" t="b">
        <v>0</v>
      </c>
    </row>
    <row r="93" ht="15.75" customHeight="1">
      <c r="A93" s="30" t="s">
        <v>211</v>
      </c>
      <c r="B93" s="22" t="s">
        <v>216</v>
      </c>
      <c r="C93" s="23">
        <f t="shared" si="2"/>
        <v>3</v>
      </c>
      <c r="D93" s="24">
        <v>0.2</v>
      </c>
      <c r="E93" s="25" t="str">
        <f t="shared" si="101"/>
        <v>#REF!</v>
      </c>
      <c r="F93" s="25" t="str">
        <f t="shared" si="3"/>
        <v>#REF!</v>
      </c>
      <c r="G93" s="26" t="s">
        <v>217</v>
      </c>
      <c r="H93" s="27">
        <v>1.5</v>
      </c>
      <c r="I93" s="27">
        <v>1.0</v>
      </c>
      <c r="J93" s="27">
        <v>0.5</v>
      </c>
      <c r="K93" s="27">
        <v>0.0</v>
      </c>
      <c r="L93" s="28">
        <f t="shared" ref="L93:O93" si="104">H93</f>
        <v>1.5</v>
      </c>
      <c r="M93" s="28">
        <f t="shared" si="104"/>
        <v>1</v>
      </c>
      <c r="N93" s="28">
        <f t="shared" si="104"/>
        <v>0.5</v>
      </c>
      <c r="O93" s="28">
        <f t="shared" si="104"/>
        <v>0</v>
      </c>
      <c r="P93" s="29" t="b">
        <v>0</v>
      </c>
    </row>
    <row r="94" ht="15.75" customHeight="1">
      <c r="A94" s="30" t="s">
        <v>218</v>
      </c>
      <c r="B94" s="22" t="s">
        <v>219</v>
      </c>
      <c r="C94" s="23">
        <f t="shared" si="2"/>
        <v>3</v>
      </c>
      <c r="D94" s="24">
        <v>0.2</v>
      </c>
      <c r="E94" s="25" t="str">
        <f t="shared" si="101"/>
        <v>#REF!</v>
      </c>
      <c r="F94" s="25" t="str">
        <f t="shared" si="3"/>
        <v>#REF!</v>
      </c>
      <c r="G94" s="26" t="s">
        <v>220</v>
      </c>
      <c r="H94" s="27">
        <v>0.0</v>
      </c>
      <c r="I94" s="27">
        <v>1.5</v>
      </c>
      <c r="J94" s="27">
        <v>1.5</v>
      </c>
      <c r="K94" s="27">
        <v>0.0</v>
      </c>
      <c r="L94" s="28">
        <f t="shared" ref="L94:O94" si="105">H94</f>
        <v>0</v>
      </c>
      <c r="M94" s="28">
        <f t="shared" si="105"/>
        <v>1.5</v>
      </c>
      <c r="N94" s="28">
        <f t="shared" si="105"/>
        <v>1.5</v>
      </c>
      <c r="O94" s="28">
        <f t="shared" si="105"/>
        <v>0</v>
      </c>
      <c r="P94" s="29" t="b">
        <v>0</v>
      </c>
    </row>
    <row r="95" ht="15.75" customHeight="1">
      <c r="A95" s="22"/>
      <c r="B95" s="22"/>
      <c r="C95" s="30">
        <f>SUM(C6:C94)</f>
        <v>403</v>
      </c>
      <c r="D95" s="22"/>
      <c r="E95" s="22"/>
      <c r="F95" s="36"/>
      <c r="G95" s="22"/>
      <c r="H95" s="37">
        <f t="shared" ref="H95:O95" si="106">SUM(H6:H94)</f>
        <v>169.5</v>
      </c>
      <c r="I95" s="37">
        <f t="shared" si="106"/>
        <v>124</v>
      </c>
      <c r="J95" s="37">
        <f t="shared" si="106"/>
        <v>57.5</v>
      </c>
      <c r="K95" s="37">
        <f t="shared" si="106"/>
        <v>52</v>
      </c>
      <c r="L95" s="38">
        <f t="shared" si="106"/>
        <v>169.5</v>
      </c>
      <c r="M95" s="38">
        <f t="shared" si="106"/>
        <v>124</v>
      </c>
      <c r="N95" s="38">
        <f t="shared" si="106"/>
        <v>57.5</v>
      </c>
      <c r="O95" s="38">
        <f t="shared" si="106"/>
        <v>52</v>
      </c>
      <c r="P95" s="39" t="b">
        <v>0</v>
      </c>
    </row>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I1:K1"/>
    <mergeCell ref="L1:O1"/>
  </mergeCells>
  <dataValidations>
    <dataValidation type="list" allowBlank="1" showErrorMessage="1" sqref="A3:A94">
      <formula1>#REF!</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40" t="s">
        <v>14</v>
      </c>
      <c r="B1" s="40" t="s">
        <v>15</v>
      </c>
      <c r="C1" s="41" t="s">
        <v>17</v>
      </c>
      <c r="D1" s="40" t="s">
        <v>18</v>
      </c>
      <c r="E1" s="42" t="s">
        <v>19</v>
      </c>
      <c r="F1" s="40" t="s">
        <v>20</v>
      </c>
      <c r="G1" s="43" t="s">
        <v>21</v>
      </c>
      <c r="H1" s="43" t="s">
        <v>22</v>
      </c>
      <c r="I1" s="43" t="s">
        <v>23</v>
      </c>
      <c r="J1" s="43" t="s">
        <v>24</v>
      </c>
      <c r="K1" s="43" t="s">
        <v>25</v>
      </c>
      <c r="L1" s="43" t="s">
        <v>26</v>
      </c>
      <c r="M1" s="43" t="s">
        <v>27</v>
      </c>
      <c r="N1" s="44" t="s">
        <v>28</v>
      </c>
      <c r="O1" s="45" t="s">
        <v>29</v>
      </c>
    </row>
    <row r="2">
      <c r="A2" s="46" t="s">
        <v>30</v>
      </c>
      <c r="B2" s="46" t="s">
        <v>31</v>
      </c>
      <c r="C2" s="47">
        <v>0.2</v>
      </c>
      <c r="D2" s="48">
        <v>45840.0</v>
      </c>
      <c r="E2" s="48">
        <v>45841.0</v>
      </c>
      <c r="F2" s="46" t="s">
        <v>32</v>
      </c>
      <c r="G2" s="49">
        <v>0.0</v>
      </c>
      <c r="H2" s="49">
        <v>0.0</v>
      </c>
      <c r="I2" s="49">
        <v>6.0</v>
      </c>
      <c r="J2" s="49">
        <v>0.0</v>
      </c>
      <c r="K2" s="49">
        <v>0.0</v>
      </c>
      <c r="L2" s="49">
        <v>0.0</v>
      </c>
      <c r="M2" s="49">
        <v>6.0</v>
      </c>
      <c r="N2" s="49">
        <v>0.0</v>
      </c>
      <c r="O2" s="46" t="b">
        <v>0</v>
      </c>
    </row>
    <row r="3">
      <c r="A3" s="46" t="s">
        <v>33</v>
      </c>
      <c r="B3" s="46" t="s">
        <v>34</v>
      </c>
      <c r="C3" s="47">
        <v>120.0</v>
      </c>
      <c r="D3" s="48">
        <v>45840.0</v>
      </c>
      <c r="E3" s="48">
        <v>46696.0</v>
      </c>
      <c r="F3" s="46" t="s">
        <v>221</v>
      </c>
      <c r="G3" s="49">
        <v>0.0</v>
      </c>
      <c r="H3" s="49">
        <v>4.0</v>
      </c>
      <c r="I3" s="49">
        <v>8.0</v>
      </c>
      <c r="J3" s="49">
        <v>0.0</v>
      </c>
      <c r="K3" s="49">
        <v>0.0</v>
      </c>
      <c r="L3" s="49">
        <v>4.0</v>
      </c>
      <c r="M3" s="49">
        <v>8.0</v>
      </c>
      <c r="N3" s="49">
        <v>0.0</v>
      </c>
      <c r="O3" s="46" t="b">
        <v>0</v>
      </c>
    </row>
    <row r="4">
      <c r="A4" s="46" t="s">
        <v>33</v>
      </c>
      <c r="B4" s="46" t="s">
        <v>36</v>
      </c>
      <c r="C4" s="47">
        <v>0.2</v>
      </c>
      <c r="D4" s="48">
        <v>45841.0</v>
      </c>
      <c r="E4" s="48">
        <v>45842.0</v>
      </c>
      <c r="F4" s="46" t="s">
        <v>37</v>
      </c>
      <c r="G4" s="49">
        <v>0.0</v>
      </c>
      <c r="H4" s="49">
        <v>1.0</v>
      </c>
      <c r="I4" s="49">
        <v>1.0</v>
      </c>
      <c r="J4" s="49">
        <v>0.0</v>
      </c>
      <c r="K4" s="49">
        <v>0.0</v>
      </c>
      <c r="L4" s="49">
        <v>1.0</v>
      </c>
      <c r="M4" s="49">
        <v>1.0</v>
      </c>
      <c r="N4" s="49">
        <v>0.0</v>
      </c>
      <c r="O4" s="46" t="b">
        <v>0</v>
      </c>
    </row>
    <row r="5">
      <c r="A5" s="46" t="s">
        <v>222</v>
      </c>
      <c r="B5" s="46" t="s">
        <v>39</v>
      </c>
      <c r="C5" s="47">
        <v>0.2</v>
      </c>
      <c r="D5" s="48">
        <v>45845.0</v>
      </c>
      <c r="E5" s="48">
        <v>45846.0</v>
      </c>
      <c r="F5" s="46" t="s">
        <v>40</v>
      </c>
      <c r="G5" s="49">
        <v>2.0</v>
      </c>
      <c r="H5" s="49">
        <v>3.0</v>
      </c>
      <c r="I5" s="49">
        <v>1.0</v>
      </c>
      <c r="J5" s="49">
        <v>0.0</v>
      </c>
      <c r="K5" s="49">
        <v>2.0</v>
      </c>
      <c r="L5" s="49">
        <v>3.0</v>
      </c>
      <c r="M5" s="49">
        <v>1.0</v>
      </c>
      <c r="N5" s="49">
        <v>0.0</v>
      </c>
      <c r="O5" s="46" t="b">
        <v>0</v>
      </c>
    </row>
    <row r="6">
      <c r="A6" s="46" t="s">
        <v>222</v>
      </c>
      <c r="B6" s="46" t="s">
        <v>41</v>
      </c>
      <c r="C6" s="47">
        <v>1.0</v>
      </c>
      <c r="D6" s="48">
        <v>45845.0</v>
      </c>
      <c r="E6" s="48">
        <v>45852.0</v>
      </c>
      <c r="F6" s="46" t="s">
        <v>42</v>
      </c>
      <c r="G6" s="49">
        <v>2.0</v>
      </c>
      <c r="H6" s="49">
        <v>5.0</v>
      </c>
      <c r="I6" s="49">
        <v>1.0</v>
      </c>
      <c r="J6" s="49">
        <v>0.0</v>
      </c>
      <c r="K6" s="49">
        <v>2.0</v>
      </c>
      <c r="L6" s="49">
        <v>5.0</v>
      </c>
      <c r="M6" s="49">
        <v>1.0</v>
      </c>
      <c r="N6" s="49">
        <v>0.0</v>
      </c>
      <c r="O6" s="46" t="b">
        <v>0</v>
      </c>
    </row>
    <row r="7">
      <c r="A7" s="46" t="s">
        <v>43</v>
      </c>
      <c r="B7" s="46" t="s">
        <v>44</v>
      </c>
      <c r="C7" s="47">
        <v>12.0</v>
      </c>
      <c r="D7" s="48">
        <v>45845.0</v>
      </c>
      <c r="E7" s="48">
        <v>45930.0</v>
      </c>
      <c r="F7" s="46" t="s">
        <v>45</v>
      </c>
      <c r="G7" s="49">
        <v>0.0</v>
      </c>
      <c r="H7" s="49">
        <v>6.0</v>
      </c>
      <c r="I7" s="49">
        <v>12.0</v>
      </c>
      <c r="J7" s="49">
        <v>0.0</v>
      </c>
      <c r="K7" s="49">
        <v>0.0</v>
      </c>
      <c r="L7" s="49">
        <v>6.0</v>
      </c>
      <c r="M7" s="49">
        <v>12.0</v>
      </c>
      <c r="N7" s="49">
        <v>0.0</v>
      </c>
      <c r="O7" s="46" t="b">
        <v>0</v>
      </c>
    </row>
    <row r="8">
      <c r="A8" s="46" t="s">
        <v>43</v>
      </c>
      <c r="B8" s="46" t="s">
        <v>46</v>
      </c>
      <c r="C8" s="47">
        <v>4.0</v>
      </c>
      <c r="D8" s="48">
        <v>45842.0</v>
      </c>
      <c r="E8" s="48">
        <v>45870.0</v>
      </c>
      <c r="F8" s="46" t="s">
        <v>47</v>
      </c>
      <c r="G8" s="49">
        <v>0.0</v>
      </c>
      <c r="H8" s="49">
        <v>4.0</v>
      </c>
      <c r="I8" s="49">
        <v>8.0</v>
      </c>
      <c r="J8" s="49">
        <v>0.0</v>
      </c>
      <c r="K8" s="49">
        <v>0.0</v>
      </c>
      <c r="L8" s="49">
        <v>4.0</v>
      </c>
      <c r="M8" s="49">
        <v>8.0</v>
      </c>
      <c r="N8" s="49">
        <v>0.0</v>
      </c>
      <c r="O8" s="46" t="b">
        <v>0</v>
      </c>
    </row>
    <row r="9">
      <c r="A9" s="46" t="s">
        <v>48</v>
      </c>
      <c r="B9" s="46" t="s">
        <v>223</v>
      </c>
      <c r="C9" s="47">
        <v>0.2</v>
      </c>
      <c r="D9" s="48">
        <v>45873.0</v>
      </c>
      <c r="E9" s="48">
        <v>45874.0</v>
      </c>
      <c r="F9" s="46" t="s">
        <v>50</v>
      </c>
      <c r="G9" s="49">
        <v>0.0</v>
      </c>
      <c r="H9" s="49">
        <v>2.0</v>
      </c>
      <c r="I9" s="49">
        <v>1.0</v>
      </c>
      <c r="J9" s="49">
        <v>0.0</v>
      </c>
      <c r="K9" s="49">
        <v>0.0</v>
      </c>
      <c r="L9" s="49">
        <v>2.0</v>
      </c>
      <c r="M9" s="49">
        <v>1.0</v>
      </c>
      <c r="N9" s="49">
        <v>0.0</v>
      </c>
      <c r="O9" s="46" t="b">
        <v>0</v>
      </c>
    </row>
    <row r="10">
      <c r="A10" s="46" t="s">
        <v>48</v>
      </c>
      <c r="B10" s="46" t="s">
        <v>51</v>
      </c>
      <c r="C10" s="47">
        <v>0.2</v>
      </c>
      <c r="D10" s="48">
        <v>45846.0</v>
      </c>
      <c r="E10" s="48">
        <v>45847.0</v>
      </c>
      <c r="F10" s="46" t="s">
        <v>52</v>
      </c>
      <c r="G10" s="49">
        <v>2.0</v>
      </c>
      <c r="H10" s="49">
        <v>1.0</v>
      </c>
      <c r="I10" s="49">
        <v>0.0</v>
      </c>
      <c r="J10" s="49">
        <v>0.0</v>
      </c>
      <c r="K10" s="49">
        <v>2.0</v>
      </c>
      <c r="L10" s="49">
        <v>1.0</v>
      </c>
      <c r="M10" s="49">
        <v>0.0</v>
      </c>
      <c r="N10" s="49">
        <v>0.0</v>
      </c>
      <c r="O10" s="46" t="b">
        <v>0</v>
      </c>
    </row>
    <row r="11">
      <c r="A11" s="46" t="s">
        <v>48</v>
      </c>
      <c r="B11" s="46" t="s">
        <v>53</v>
      </c>
      <c r="C11" s="47">
        <v>120.0</v>
      </c>
      <c r="D11" s="48">
        <v>45846.0</v>
      </c>
      <c r="E11" s="48">
        <v>46702.0</v>
      </c>
      <c r="F11" s="46" t="s">
        <v>54</v>
      </c>
      <c r="G11" s="49">
        <v>2.0</v>
      </c>
      <c r="H11" s="49">
        <v>3.0</v>
      </c>
      <c r="I11" s="49">
        <v>1.0</v>
      </c>
      <c r="J11" s="49">
        <v>0.0</v>
      </c>
      <c r="K11" s="49">
        <v>2.0</v>
      </c>
      <c r="L11" s="49">
        <v>3.0</v>
      </c>
      <c r="M11" s="49">
        <v>1.0</v>
      </c>
      <c r="N11" s="49">
        <v>0.0</v>
      </c>
      <c r="O11" s="46" t="b">
        <v>0</v>
      </c>
    </row>
    <row r="12">
      <c r="A12" s="46" t="s">
        <v>48</v>
      </c>
      <c r="B12" s="46" t="s">
        <v>55</v>
      </c>
      <c r="C12" s="47">
        <v>0.2</v>
      </c>
      <c r="D12" s="48">
        <v>45845.0</v>
      </c>
      <c r="E12" s="48">
        <v>45846.0</v>
      </c>
      <c r="F12" s="46" t="s">
        <v>56</v>
      </c>
      <c r="G12" s="49">
        <v>2.5</v>
      </c>
      <c r="H12" s="49">
        <v>1.5</v>
      </c>
      <c r="I12" s="49">
        <v>0.5</v>
      </c>
      <c r="J12" s="49">
        <v>0.0</v>
      </c>
      <c r="K12" s="49">
        <v>2.5</v>
      </c>
      <c r="L12" s="49">
        <v>1.5</v>
      </c>
      <c r="M12" s="49">
        <v>0.5</v>
      </c>
      <c r="N12" s="49">
        <v>0.0</v>
      </c>
      <c r="O12" s="46" t="b">
        <v>0</v>
      </c>
    </row>
    <row r="13">
      <c r="A13" s="46" t="s">
        <v>48</v>
      </c>
      <c r="B13" s="46" t="s">
        <v>57</v>
      </c>
      <c r="C13" s="47">
        <v>0.2</v>
      </c>
      <c r="D13" s="48">
        <v>45845.0</v>
      </c>
      <c r="E13" s="48">
        <v>45846.0</v>
      </c>
      <c r="F13" s="46" t="s">
        <v>58</v>
      </c>
      <c r="G13" s="49">
        <v>2.5</v>
      </c>
      <c r="H13" s="49">
        <v>2.0</v>
      </c>
      <c r="I13" s="49">
        <v>0.5</v>
      </c>
      <c r="J13" s="49">
        <v>0.0</v>
      </c>
      <c r="K13" s="49">
        <v>2.5</v>
      </c>
      <c r="L13" s="49">
        <v>2.0</v>
      </c>
      <c r="M13" s="49">
        <v>0.5</v>
      </c>
      <c r="N13" s="49">
        <v>0.0</v>
      </c>
      <c r="O13" s="46" t="b">
        <v>1</v>
      </c>
    </row>
    <row r="14">
      <c r="A14" s="46" t="s">
        <v>48</v>
      </c>
      <c r="B14" s="46" t="s">
        <v>59</v>
      </c>
      <c r="C14" s="47">
        <v>0.2</v>
      </c>
      <c r="D14" s="48">
        <v>45847.0</v>
      </c>
      <c r="E14" s="48">
        <v>45848.0</v>
      </c>
      <c r="F14" s="46" t="s">
        <v>60</v>
      </c>
      <c r="G14" s="49">
        <v>1.0</v>
      </c>
      <c r="H14" s="49">
        <v>1.0</v>
      </c>
      <c r="I14" s="49">
        <v>0.5</v>
      </c>
      <c r="J14" s="49">
        <v>0.0</v>
      </c>
      <c r="K14" s="49">
        <v>1.0</v>
      </c>
      <c r="L14" s="49">
        <v>1.0</v>
      </c>
      <c r="M14" s="49">
        <v>0.5</v>
      </c>
      <c r="N14" s="49">
        <v>0.0</v>
      </c>
      <c r="O14" s="46" t="b">
        <v>0</v>
      </c>
    </row>
    <row r="15">
      <c r="A15" s="46" t="s">
        <v>48</v>
      </c>
      <c r="B15" s="46" t="s">
        <v>61</v>
      </c>
      <c r="C15" s="47">
        <v>0.2</v>
      </c>
      <c r="D15" s="48">
        <v>45847.0</v>
      </c>
      <c r="E15" s="48">
        <v>45848.0</v>
      </c>
      <c r="F15" s="46" t="s">
        <v>62</v>
      </c>
      <c r="G15" s="49">
        <v>1.0</v>
      </c>
      <c r="H15" s="49">
        <v>1.0</v>
      </c>
      <c r="I15" s="49">
        <v>0.5</v>
      </c>
      <c r="J15" s="49">
        <v>0.0</v>
      </c>
      <c r="K15" s="49">
        <v>1.0</v>
      </c>
      <c r="L15" s="49">
        <v>1.0</v>
      </c>
      <c r="M15" s="49">
        <v>0.5</v>
      </c>
      <c r="N15" s="49">
        <v>0.0</v>
      </c>
      <c r="O15" s="46" t="b">
        <v>0</v>
      </c>
    </row>
    <row r="16">
      <c r="A16" s="46" t="s">
        <v>48</v>
      </c>
      <c r="B16" s="46" t="s">
        <v>63</v>
      </c>
      <c r="C16" s="47">
        <v>0.2</v>
      </c>
      <c r="D16" s="48">
        <v>45847.0</v>
      </c>
      <c r="E16" s="48">
        <v>45848.0</v>
      </c>
      <c r="F16" s="46" t="s">
        <v>64</v>
      </c>
      <c r="G16" s="49">
        <v>3.0</v>
      </c>
      <c r="H16" s="49">
        <v>2.0</v>
      </c>
      <c r="I16" s="49">
        <v>0.5</v>
      </c>
      <c r="J16" s="49">
        <v>0.0</v>
      </c>
      <c r="K16" s="49">
        <v>3.0</v>
      </c>
      <c r="L16" s="49">
        <v>2.0</v>
      </c>
      <c r="M16" s="49">
        <v>0.5</v>
      </c>
      <c r="N16" s="49">
        <v>0.0</v>
      </c>
      <c r="O16" s="46" t="b">
        <v>0</v>
      </c>
    </row>
    <row r="17">
      <c r="A17" s="46" t="s">
        <v>48</v>
      </c>
      <c r="B17" s="46" t="s">
        <v>65</v>
      </c>
      <c r="C17" s="47">
        <v>0.2</v>
      </c>
      <c r="D17" s="48">
        <v>45849.0</v>
      </c>
      <c r="E17" s="48">
        <v>45852.0</v>
      </c>
      <c r="F17" s="46" t="s">
        <v>66</v>
      </c>
      <c r="G17" s="49">
        <v>1.0</v>
      </c>
      <c r="H17" s="49">
        <v>0.5</v>
      </c>
      <c r="I17" s="49">
        <v>0.0</v>
      </c>
      <c r="J17" s="49">
        <v>0.0</v>
      </c>
      <c r="K17" s="49">
        <v>1.0</v>
      </c>
      <c r="L17" s="49">
        <v>0.5</v>
      </c>
      <c r="M17" s="49">
        <v>0.0</v>
      </c>
      <c r="N17" s="49">
        <v>0.0</v>
      </c>
      <c r="O17" s="46" t="b">
        <v>1</v>
      </c>
    </row>
    <row r="18">
      <c r="A18" s="46" t="s">
        <v>48</v>
      </c>
      <c r="B18" s="46" t="s">
        <v>67</v>
      </c>
      <c r="C18" s="47">
        <v>0.2</v>
      </c>
      <c r="D18" s="48">
        <v>45853.0</v>
      </c>
      <c r="E18" s="48">
        <v>45854.0</v>
      </c>
      <c r="F18" s="46" t="s">
        <v>68</v>
      </c>
      <c r="G18" s="49">
        <v>1.0</v>
      </c>
      <c r="H18" s="49">
        <v>0.5</v>
      </c>
      <c r="I18" s="49">
        <v>0.0</v>
      </c>
      <c r="J18" s="49">
        <v>0.0</v>
      </c>
      <c r="K18" s="49">
        <v>1.0</v>
      </c>
      <c r="L18" s="49">
        <v>0.5</v>
      </c>
      <c r="M18" s="49">
        <v>0.0</v>
      </c>
      <c r="N18" s="49">
        <v>0.0</v>
      </c>
      <c r="O18" s="46" t="b">
        <v>0</v>
      </c>
    </row>
    <row r="19">
      <c r="A19" s="46" t="s">
        <v>48</v>
      </c>
      <c r="B19" s="46" t="s">
        <v>69</v>
      </c>
      <c r="C19" s="47">
        <v>0.2</v>
      </c>
      <c r="D19" s="48">
        <v>45855.0</v>
      </c>
      <c r="E19" s="48">
        <v>45856.0</v>
      </c>
      <c r="F19" s="46" t="s">
        <v>70</v>
      </c>
      <c r="G19" s="49">
        <v>1.0</v>
      </c>
      <c r="H19" s="49">
        <v>1.0</v>
      </c>
      <c r="I19" s="49">
        <v>0.5</v>
      </c>
      <c r="J19" s="49">
        <v>0.0</v>
      </c>
      <c r="K19" s="49">
        <v>1.0</v>
      </c>
      <c r="L19" s="49">
        <v>1.0</v>
      </c>
      <c r="M19" s="49">
        <v>0.5</v>
      </c>
      <c r="N19" s="49">
        <v>0.0</v>
      </c>
      <c r="O19" s="46" t="b">
        <v>0</v>
      </c>
    </row>
    <row r="20">
      <c r="A20" s="46" t="s">
        <v>48</v>
      </c>
      <c r="B20" s="46" t="s">
        <v>71</v>
      </c>
      <c r="C20" s="47">
        <v>0.2</v>
      </c>
      <c r="D20" s="48">
        <v>45859.0</v>
      </c>
      <c r="E20" s="48">
        <v>45860.0</v>
      </c>
      <c r="F20" s="46" t="s">
        <v>72</v>
      </c>
      <c r="G20" s="49">
        <v>1.0</v>
      </c>
      <c r="H20" s="49">
        <v>0.5</v>
      </c>
      <c r="I20" s="49">
        <v>0.0</v>
      </c>
      <c r="J20" s="49">
        <v>0.0</v>
      </c>
      <c r="K20" s="49">
        <v>1.0</v>
      </c>
      <c r="L20" s="49">
        <v>0.5</v>
      </c>
      <c r="M20" s="49">
        <v>0.0</v>
      </c>
      <c r="N20" s="49">
        <v>0.0</v>
      </c>
      <c r="O20" s="46" t="b">
        <v>0</v>
      </c>
    </row>
    <row r="21">
      <c r="A21" s="46" t="s">
        <v>48</v>
      </c>
      <c r="B21" s="46" t="s">
        <v>73</v>
      </c>
      <c r="C21" s="47">
        <v>0.2</v>
      </c>
      <c r="D21" s="48">
        <v>45861.0</v>
      </c>
      <c r="E21" s="48">
        <v>45862.0</v>
      </c>
      <c r="F21" s="46" t="s">
        <v>74</v>
      </c>
      <c r="G21" s="49">
        <v>2.0</v>
      </c>
      <c r="H21" s="49">
        <v>0.5</v>
      </c>
      <c r="I21" s="49">
        <v>0.0</v>
      </c>
      <c r="J21" s="49">
        <v>0.0</v>
      </c>
      <c r="K21" s="49">
        <v>2.0</v>
      </c>
      <c r="L21" s="49">
        <v>0.5</v>
      </c>
      <c r="M21" s="49">
        <v>0.0</v>
      </c>
      <c r="N21" s="49">
        <v>0.0</v>
      </c>
      <c r="O21" s="46" t="b">
        <v>0</v>
      </c>
    </row>
    <row r="22">
      <c r="A22" s="46" t="s">
        <v>48</v>
      </c>
      <c r="B22" s="46" t="s">
        <v>75</v>
      </c>
      <c r="C22" s="47">
        <v>0.2</v>
      </c>
      <c r="D22" s="48">
        <v>45894.0</v>
      </c>
      <c r="E22" s="48">
        <v>45895.0</v>
      </c>
      <c r="F22" s="46" t="s">
        <v>76</v>
      </c>
      <c r="G22" s="49">
        <v>3.0</v>
      </c>
      <c r="H22" s="49">
        <v>2.0</v>
      </c>
      <c r="I22" s="49">
        <v>1.0</v>
      </c>
      <c r="J22" s="49">
        <v>0.0</v>
      </c>
      <c r="K22" s="49">
        <v>3.0</v>
      </c>
      <c r="L22" s="49">
        <v>2.0</v>
      </c>
      <c r="M22" s="49">
        <v>1.0</v>
      </c>
      <c r="N22" s="49">
        <v>0.0</v>
      </c>
      <c r="O22" s="46" t="b">
        <v>0</v>
      </c>
    </row>
    <row r="23">
      <c r="A23" s="46" t="s">
        <v>48</v>
      </c>
      <c r="B23" s="46" t="s">
        <v>77</v>
      </c>
      <c r="C23" s="47">
        <v>0.4</v>
      </c>
      <c r="D23" s="48">
        <v>45863.0</v>
      </c>
      <c r="E23" s="48">
        <v>45867.0</v>
      </c>
      <c r="F23" s="46" t="s">
        <v>78</v>
      </c>
      <c r="G23" s="49">
        <v>5.0</v>
      </c>
      <c r="H23" s="49">
        <v>2.0</v>
      </c>
      <c r="I23" s="49">
        <v>1.0</v>
      </c>
      <c r="J23" s="49">
        <v>0.0</v>
      </c>
      <c r="K23" s="49">
        <v>5.0</v>
      </c>
      <c r="L23" s="49">
        <v>2.0</v>
      </c>
      <c r="M23" s="49">
        <v>1.0</v>
      </c>
      <c r="N23" s="49">
        <v>0.0</v>
      </c>
      <c r="O23" s="46" t="b">
        <v>0</v>
      </c>
    </row>
    <row r="24">
      <c r="A24" s="46" t="s">
        <v>48</v>
      </c>
      <c r="B24" s="46" t="s">
        <v>79</v>
      </c>
      <c r="C24" s="47">
        <v>0.2</v>
      </c>
      <c r="D24" s="48">
        <v>45868.0</v>
      </c>
      <c r="E24" s="48">
        <v>45869.0</v>
      </c>
      <c r="F24" s="46" t="s">
        <v>80</v>
      </c>
      <c r="G24" s="49">
        <v>1.0</v>
      </c>
      <c r="H24" s="49">
        <v>2.5</v>
      </c>
      <c r="I24" s="49">
        <v>0.5</v>
      </c>
      <c r="J24" s="49">
        <v>0.0</v>
      </c>
      <c r="K24" s="49">
        <v>1.0</v>
      </c>
      <c r="L24" s="49">
        <v>2.5</v>
      </c>
      <c r="M24" s="49">
        <v>0.5</v>
      </c>
      <c r="N24" s="49">
        <v>0.0</v>
      </c>
      <c r="O24" s="46" t="b">
        <v>0</v>
      </c>
    </row>
    <row r="25">
      <c r="A25" s="46" t="s">
        <v>48</v>
      </c>
      <c r="B25" s="46" t="s">
        <v>81</v>
      </c>
      <c r="C25" s="47">
        <v>0.2</v>
      </c>
      <c r="D25" s="48">
        <v>45868.0</v>
      </c>
      <c r="E25" s="48">
        <v>45869.0</v>
      </c>
      <c r="F25" s="46" t="s">
        <v>82</v>
      </c>
      <c r="G25" s="49">
        <v>2.0</v>
      </c>
      <c r="H25" s="49">
        <v>2.0</v>
      </c>
      <c r="I25" s="49">
        <v>1.0</v>
      </c>
      <c r="J25" s="49">
        <v>0.0</v>
      </c>
      <c r="K25" s="49">
        <v>2.0</v>
      </c>
      <c r="L25" s="49">
        <v>2.0</v>
      </c>
      <c r="M25" s="49">
        <v>1.0</v>
      </c>
      <c r="N25" s="49">
        <v>0.0</v>
      </c>
      <c r="O25" s="46" t="b">
        <v>0</v>
      </c>
    </row>
    <row r="26">
      <c r="A26" s="46" t="s">
        <v>48</v>
      </c>
      <c r="B26" s="46" t="s">
        <v>83</v>
      </c>
      <c r="C26" s="47">
        <v>0.2</v>
      </c>
      <c r="D26" s="48">
        <v>45870.0</v>
      </c>
      <c r="E26" s="48">
        <v>45873.0</v>
      </c>
      <c r="F26" s="46" t="s">
        <v>84</v>
      </c>
      <c r="G26" s="49">
        <v>2.0</v>
      </c>
      <c r="H26" s="49">
        <v>1.0</v>
      </c>
      <c r="I26" s="49">
        <v>0.5</v>
      </c>
      <c r="J26" s="49">
        <v>0.0</v>
      </c>
      <c r="K26" s="49">
        <v>2.0</v>
      </c>
      <c r="L26" s="49">
        <v>1.0</v>
      </c>
      <c r="M26" s="49">
        <v>0.5</v>
      </c>
      <c r="N26" s="49">
        <v>0.0</v>
      </c>
      <c r="O26" s="46" t="b">
        <v>0</v>
      </c>
    </row>
    <row r="27">
      <c r="A27" s="46" t="s">
        <v>48</v>
      </c>
      <c r="B27" s="46" t="s">
        <v>85</v>
      </c>
      <c r="C27" s="47">
        <v>0.2</v>
      </c>
      <c r="D27" s="48">
        <v>45874.0</v>
      </c>
      <c r="E27" s="48">
        <v>45875.0</v>
      </c>
      <c r="F27" s="46" t="s">
        <v>86</v>
      </c>
      <c r="G27" s="49">
        <v>3.0</v>
      </c>
      <c r="H27" s="49">
        <v>2.0</v>
      </c>
      <c r="I27" s="49">
        <v>1.0</v>
      </c>
      <c r="J27" s="49">
        <v>0.0</v>
      </c>
      <c r="K27" s="49">
        <v>3.0</v>
      </c>
      <c r="L27" s="49">
        <v>2.0</v>
      </c>
      <c r="M27" s="49">
        <v>1.0</v>
      </c>
      <c r="N27" s="49">
        <v>0.0</v>
      </c>
      <c r="O27" s="46" t="b">
        <v>0</v>
      </c>
    </row>
    <row r="28">
      <c r="A28" s="46" t="s">
        <v>48</v>
      </c>
      <c r="B28" s="46" t="s">
        <v>87</v>
      </c>
      <c r="C28" s="47">
        <v>0.2</v>
      </c>
      <c r="D28" s="48">
        <v>45876.0</v>
      </c>
      <c r="E28" s="48">
        <v>45877.0</v>
      </c>
      <c r="F28" s="46" t="s">
        <v>88</v>
      </c>
      <c r="G28" s="49">
        <v>3.0</v>
      </c>
      <c r="H28" s="49">
        <v>2.0</v>
      </c>
      <c r="I28" s="49">
        <v>1.0</v>
      </c>
      <c r="J28" s="49">
        <v>0.0</v>
      </c>
      <c r="K28" s="49">
        <v>3.0</v>
      </c>
      <c r="L28" s="49">
        <v>2.0</v>
      </c>
      <c r="M28" s="49">
        <v>1.0</v>
      </c>
      <c r="N28" s="49">
        <v>0.0</v>
      </c>
      <c r="O28" s="46" t="b">
        <v>1</v>
      </c>
    </row>
    <row r="29">
      <c r="A29" s="46" t="s">
        <v>48</v>
      </c>
      <c r="B29" s="46" t="s">
        <v>89</v>
      </c>
      <c r="C29" s="47">
        <v>0.2</v>
      </c>
      <c r="D29" s="48">
        <v>45880.0</v>
      </c>
      <c r="E29" s="48">
        <v>45881.0</v>
      </c>
      <c r="F29" s="46" t="s">
        <v>90</v>
      </c>
      <c r="G29" s="49">
        <v>3.0</v>
      </c>
      <c r="H29" s="49">
        <v>2.0</v>
      </c>
      <c r="I29" s="49">
        <v>1.0</v>
      </c>
      <c r="J29" s="49">
        <v>0.0</v>
      </c>
      <c r="K29" s="49">
        <v>3.0</v>
      </c>
      <c r="L29" s="49">
        <v>2.0</v>
      </c>
      <c r="M29" s="49">
        <v>1.0</v>
      </c>
      <c r="N29" s="49">
        <v>0.0</v>
      </c>
      <c r="O29" s="46" t="b">
        <v>0</v>
      </c>
    </row>
    <row r="30">
      <c r="A30" s="46" t="s">
        <v>48</v>
      </c>
      <c r="B30" s="46" t="s">
        <v>91</v>
      </c>
      <c r="C30" s="47">
        <v>0.2</v>
      </c>
      <c r="D30" s="48">
        <v>45870.0</v>
      </c>
      <c r="E30" s="48">
        <v>45873.0</v>
      </c>
      <c r="F30" s="46" t="s">
        <v>92</v>
      </c>
      <c r="G30" s="49">
        <v>2.0</v>
      </c>
      <c r="H30" s="49">
        <v>0.5</v>
      </c>
      <c r="I30" s="49">
        <v>0.0</v>
      </c>
      <c r="J30" s="49">
        <v>0.0</v>
      </c>
      <c r="K30" s="49">
        <v>2.0</v>
      </c>
      <c r="L30" s="49">
        <v>0.5</v>
      </c>
      <c r="M30" s="49">
        <v>0.0</v>
      </c>
      <c r="N30" s="49">
        <v>0.0</v>
      </c>
      <c r="O30" s="46" t="b">
        <v>0</v>
      </c>
    </row>
    <row r="31">
      <c r="A31" s="46" t="s">
        <v>48</v>
      </c>
      <c r="B31" s="46" t="s">
        <v>93</v>
      </c>
      <c r="C31" s="47">
        <v>0.2</v>
      </c>
      <c r="D31" s="48">
        <v>45874.0</v>
      </c>
      <c r="E31" s="48">
        <v>45875.0</v>
      </c>
      <c r="F31" s="46" t="s">
        <v>94</v>
      </c>
      <c r="G31" s="49">
        <v>3.0</v>
      </c>
      <c r="H31" s="49">
        <v>2.0</v>
      </c>
      <c r="I31" s="49">
        <v>1.0</v>
      </c>
      <c r="J31" s="49">
        <v>0.0</v>
      </c>
      <c r="K31" s="49">
        <v>3.0</v>
      </c>
      <c r="L31" s="49">
        <v>2.0</v>
      </c>
      <c r="M31" s="49">
        <v>1.0</v>
      </c>
      <c r="N31" s="49">
        <v>0.0</v>
      </c>
      <c r="O31" s="46" t="b">
        <v>0</v>
      </c>
    </row>
    <row r="32">
      <c r="A32" s="46" t="s">
        <v>48</v>
      </c>
      <c r="B32" s="46" t="s">
        <v>95</v>
      </c>
      <c r="C32" s="47">
        <v>0.2</v>
      </c>
      <c r="D32" s="48">
        <v>45876.0</v>
      </c>
      <c r="E32" s="48">
        <v>45877.0</v>
      </c>
      <c r="F32" s="46" t="s">
        <v>96</v>
      </c>
      <c r="G32" s="49">
        <v>2.5</v>
      </c>
      <c r="H32" s="49">
        <v>2.0</v>
      </c>
      <c r="I32" s="49">
        <v>0.5</v>
      </c>
      <c r="J32" s="49">
        <v>0.0</v>
      </c>
      <c r="K32" s="49">
        <v>2.5</v>
      </c>
      <c r="L32" s="49">
        <v>2.0</v>
      </c>
      <c r="M32" s="49">
        <v>0.5</v>
      </c>
      <c r="N32" s="49">
        <v>0.0</v>
      </c>
      <c r="O32" s="46" t="b">
        <v>0</v>
      </c>
    </row>
    <row r="33">
      <c r="A33" s="46" t="s">
        <v>48</v>
      </c>
      <c r="B33" s="46" t="s">
        <v>97</v>
      </c>
      <c r="C33" s="47">
        <v>0.2</v>
      </c>
      <c r="D33" s="48">
        <v>45880.0</v>
      </c>
      <c r="E33" s="48">
        <v>45881.0</v>
      </c>
      <c r="F33" s="46" t="s">
        <v>98</v>
      </c>
      <c r="G33" s="49">
        <v>3.0</v>
      </c>
      <c r="H33" s="49">
        <v>2.0</v>
      </c>
      <c r="I33" s="49">
        <v>1.0</v>
      </c>
      <c r="J33" s="49">
        <v>0.0</v>
      </c>
      <c r="K33" s="49">
        <v>3.0</v>
      </c>
      <c r="L33" s="49">
        <v>2.0</v>
      </c>
      <c r="M33" s="49">
        <v>1.0</v>
      </c>
      <c r="N33" s="49">
        <v>0.0</v>
      </c>
      <c r="O33" s="46" t="b">
        <v>0</v>
      </c>
    </row>
    <row r="34">
      <c r="A34" s="46" t="s">
        <v>48</v>
      </c>
      <c r="B34" s="46" t="s">
        <v>99</v>
      </c>
      <c r="C34" s="47">
        <v>0.2</v>
      </c>
      <c r="D34" s="48">
        <v>45870.0</v>
      </c>
      <c r="E34" s="48">
        <v>45873.0</v>
      </c>
      <c r="F34" s="46" t="s">
        <v>100</v>
      </c>
      <c r="G34" s="49">
        <v>2.0</v>
      </c>
      <c r="H34" s="49">
        <v>0.5</v>
      </c>
      <c r="I34" s="49">
        <v>0.5</v>
      </c>
      <c r="J34" s="49">
        <v>0.0</v>
      </c>
      <c r="K34" s="49">
        <v>2.0</v>
      </c>
      <c r="L34" s="49">
        <v>0.5</v>
      </c>
      <c r="M34" s="49">
        <v>0.5</v>
      </c>
      <c r="N34" s="49">
        <v>0.0</v>
      </c>
      <c r="O34" s="46" t="b">
        <v>0</v>
      </c>
    </row>
    <row r="35">
      <c r="A35" s="46" t="s">
        <v>48</v>
      </c>
      <c r="B35" s="46" t="s">
        <v>101</v>
      </c>
      <c r="C35" s="47">
        <v>0.2</v>
      </c>
      <c r="D35" s="48">
        <v>45870.0</v>
      </c>
      <c r="E35" s="48">
        <v>45873.0</v>
      </c>
      <c r="F35" s="46" t="s">
        <v>102</v>
      </c>
      <c r="G35" s="49">
        <v>1.5</v>
      </c>
      <c r="H35" s="49">
        <v>0.5</v>
      </c>
      <c r="I35" s="49">
        <v>0.0</v>
      </c>
      <c r="J35" s="49">
        <v>0.0</v>
      </c>
      <c r="K35" s="49">
        <v>1.5</v>
      </c>
      <c r="L35" s="49">
        <v>0.5</v>
      </c>
      <c r="M35" s="49">
        <v>0.0</v>
      </c>
      <c r="N35" s="49">
        <v>0.0</v>
      </c>
      <c r="O35" s="46" t="b">
        <v>0</v>
      </c>
    </row>
    <row r="36">
      <c r="A36" s="46" t="s">
        <v>48</v>
      </c>
      <c r="B36" s="46" t="s">
        <v>103</v>
      </c>
      <c r="C36" s="47">
        <v>0.2</v>
      </c>
      <c r="D36" s="48">
        <v>45874.0</v>
      </c>
      <c r="E36" s="48">
        <v>45875.0</v>
      </c>
      <c r="F36" s="46" t="s">
        <v>104</v>
      </c>
      <c r="G36" s="49">
        <v>2.0</v>
      </c>
      <c r="H36" s="49">
        <v>1.0</v>
      </c>
      <c r="I36" s="49">
        <v>0.5</v>
      </c>
      <c r="J36" s="49">
        <v>0.0</v>
      </c>
      <c r="K36" s="49">
        <v>2.0</v>
      </c>
      <c r="L36" s="49">
        <v>1.0</v>
      </c>
      <c r="M36" s="49">
        <v>0.5</v>
      </c>
      <c r="N36" s="49">
        <v>0.0</v>
      </c>
      <c r="O36" s="46" t="b">
        <v>0</v>
      </c>
    </row>
    <row r="37">
      <c r="A37" s="46" t="s">
        <v>48</v>
      </c>
      <c r="B37" s="46" t="s">
        <v>105</v>
      </c>
      <c r="C37" s="47">
        <v>0.2</v>
      </c>
      <c r="D37" s="48">
        <v>45876.0</v>
      </c>
      <c r="E37" s="48">
        <v>45877.0</v>
      </c>
      <c r="F37" s="46" t="s">
        <v>106</v>
      </c>
      <c r="G37" s="49">
        <v>3.0</v>
      </c>
      <c r="H37" s="49">
        <v>1.5</v>
      </c>
      <c r="I37" s="49">
        <v>0.5</v>
      </c>
      <c r="J37" s="49">
        <v>0.0</v>
      </c>
      <c r="K37" s="49">
        <v>3.0</v>
      </c>
      <c r="L37" s="49">
        <v>1.5</v>
      </c>
      <c r="M37" s="49">
        <v>0.5</v>
      </c>
      <c r="N37" s="49">
        <v>0.0</v>
      </c>
      <c r="O37" s="46" t="b">
        <v>0</v>
      </c>
    </row>
    <row r="38">
      <c r="A38" s="46" t="s">
        <v>48</v>
      </c>
      <c r="B38" s="46" t="s">
        <v>107</v>
      </c>
      <c r="C38" s="47">
        <v>0.2</v>
      </c>
      <c r="D38" s="48">
        <v>45880.0</v>
      </c>
      <c r="E38" s="48">
        <v>45881.0</v>
      </c>
      <c r="F38" s="46" t="s">
        <v>108</v>
      </c>
      <c r="G38" s="49">
        <v>3.0</v>
      </c>
      <c r="H38" s="49">
        <v>2.0</v>
      </c>
      <c r="I38" s="49">
        <v>1.0</v>
      </c>
      <c r="J38" s="49">
        <v>0.0</v>
      </c>
      <c r="K38" s="49">
        <v>3.0</v>
      </c>
      <c r="L38" s="49">
        <v>2.0</v>
      </c>
      <c r="M38" s="49">
        <v>1.0</v>
      </c>
      <c r="N38" s="49">
        <v>0.0</v>
      </c>
      <c r="O38" s="46" t="b">
        <v>0</v>
      </c>
    </row>
    <row r="39">
      <c r="A39" s="46" t="s">
        <v>48</v>
      </c>
      <c r="B39" s="46" t="s">
        <v>109</v>
      </c>
      <c r="C39" s="47">
        <v>0.2</v>
      </c>
      <c r="D39" s="48">
        <v>45882.0</v>
      </c>
      <c r="E39" s="48">
        <v>45883.0</v>
      </c>
      <c r="F39" s="46" t="s">
        <v>110</v>
      </c>
      <c r="G39" s="49">
        <v>3.0</v>
      </c>
      <c r="H39" s="49">
        <v>2.0</v>
      </c>
      <c r="I39" s="49">
        <v>1.0</v>
      </c>
      <c r="J39" s="49">
        <v>0.0</v>
      </c>
      <c r="K39" s="49">
        <v>3.0</v>
      </c>
      <c r="L39" s="49">
        <v>2.0</v>
      </c>
      <c r="M39" s="49">
        <v>1.0</v>
      </c>
      <c r="N39" s="49">
        <v>0.0</v>
      </c>
      <c r="O39" s="46" t="b">
        <v>1</v>
      </c>
    </row>
    <row r="40">
      <c r="A40" s="46" t="s">
        <v>48</v>
      </c>
      <c r="B40" s="46" t="s">
        <v>111</v>
      </c>
      <c r="C40" s="47">
        <v>0.2</v>
      </c>
      <c r="D40" s="48">
        <v>45884.0</v>
      </c>
      <c r="E40" s="48">
        <v>45887.0</v>
      </c>
      <c r="F40" s="46" t="s">
        <v>112</v>
      </c>
      <c r="G40" s="49">
        <v>3.0</v>
      </c>
      <c r="H40" s="49">
        <v>2.0</v>
      </c>
      <c r="I40" s="49">
        <v>1.0</v>
      </c>
      <c r="J40" s="49">
        <v>0.0</v>
      </c>
      <c r="K40" s="49">
        <v>3.0</v>
      </c>
      <c r="L40" s="49">
        <v>2.0</v>
      </c>
      <c r="M40" s="49">
        <v>1.0</v>
      </c>
      <c r="N40" s="49">
        <v>0.0</v>
      </c>
      <c r="O40" s="46" t="b">
        <v>0</v>
      </c>
    </row>
    <row r="41">
      <c r="A41" s="46" t="s">
        <v>48</v>
      </c>
      <c r="B41" s="46" t="s">
        <v>113</v>
      </c>
      <c r="C41" s="47">
        <v>0.2</v>
      </c>
      <c r="D41" s="48">
        <v>45888.0</v>
      </c>
      <c r="E41" s="48">
        <v>45889.0</v>
      </c>
      <c r="F41" s="46" t="s">
        <v>114</v>
      </c>
      <c r="G41" s="49">
        <v>3.0</v>
      </c>
      <c r="H41" s="49">
        <v>1.5</v>
      </c>
      <c r="I41" s="49">
        <v>0.5</v>
      </c>
      <c r="J41" s="49">
        <v>0.0</v>
      </c>
      <c r="K41" s="49">
        <v>3.0</v>
      </c>
      <c r="L41" s="49">
        <v>1.5</v>
      </c>
      <c r="M41" s="49">
        <v>0.5</v>
      </c>
      <c r="N41" s="49">
        <v>0.0</v>
      </c>
      <c r="O41" s="46" t="b">
        <v>0</v>
      </c>
    </row>
    <row r="42">
      <c r="A42" s="46" t="s">
        <v>48</v>
      </c>
      <c r="B42" s="46" t="s">
        <v>115</v>
      </c>
      <c r="C42" s="47">
        <v>0.2</v>
      </c>
      <c r="D42" s="48">
        <v>45890.0</v>
      </c>
      <c r="E42" s="48">
        <v>45891.0</v>
      </c>
      <c r="F42" s="46" t="s">
        <v>116</v>
      </c>
      <c r="G42" s="49">
        <v>3.5</v>
      </c>
      <c r="H42" s="49">
        <v>0.5</v>
      </c>
      <c r="I42" s="49">
        <v>0.5</v>
      </c>
      <c r="J42" s="49">
        <v>0.0</v>
      </c>
      <c r="K42" s="49">
        <v>3.5</v>
      </c>
      <c r="L42" s="49">
        <v>0.5</v>
      </c>
      <c r="M42" s="49">
        <v>0.5</v>
      </c>
      <c r="N42" s="49">
        <v>0.0</v>
      </c>
      <c r="O42" s="46" t="b">
        <v>0</v>
      </c>
    </row>
    <row r="43">
      <c r="A43" s="46" t="s">
        <v>48</v>
      </c>
      <c r="B43" s="46" t="s">
        <v>117</v>
      </c>
      <c r="C43" s="47">
        <v>0.2</v>
      </c>
      <c r="D43" s="48">
        <v>45894.0</v>
      </c>
      <c r="E43" s="48">
        <v>45895.0</v>
      </c>
      <c r="F43" s="46" t="s">
        <v>118</v>
      </c>
      <c r="G43" s="49">
        <v>3.0</v>
      </c>
      <c r="H43" s="49">
        <v>0.5</v>
      </c>
      <c r="I43" s="49">
        <v>0.5</v>
      </c>
      <c r="J43" s="49">
        <v>0.0</v>
      </c>
      <c r="K43" s="49">
        <v>3.0</v>
      </c>
      <c r="L43" s="49">
        <v>0.5</v>
      </c>
      <c r="M43" s="49">
        <v>0.5</v>
      </c>
      <c r="N43" s="49">
        <v>0.0</v>
      </c>
      <c r="O43" s="46" t="b">
        <v>0</v>
      </c>
    </row>
    <row r="44">
      <c r="A44" s="46" t="s">
        <v>48</v>
      </c>
      <c r="B44" s="46" t="s">
        <v>119</v>
      </c>
      <c r="C44" s="47">
        <v>0.2</v>
      </c>
      <c r="D44" s="48">
        <v>45896.0</v>
      </c>
      <c r="E44" s="48">
        <v>45897.0</v>
      </c>
      <c r="F44" s="46" t="s">
        <v>120</v>
      </c>
      <c r="G44" s="49">
        <v>3.0</v>
      </c>
      <c r="H44" s="49">
        <v>2.0</v>
      </c>
      <c r="I44" s="49">
        <v>1.0</v>
      </c>
      <c r="J44" s="49">
        <v>0.0</v>
      </c>
      <c r="K44" s="49">
        <v>3.0</v>
      </c>
      <c r="L44" s="49">
        <v>2.0</v>
      </c>
      <c r="M44" s="49">
        <v>1.0</v>
      </c>
      <c r="N44" s="49">
        <v>0.0</v>
      </c>
      <c r="O44" s="46" t="b">
        <v>0</v>
      </c>
    </row>
    <row r="45">
      <c r="A45" s="46" t="s">
        <v>48</v>
      </c>
      <c r="B45" s="46" t="s">
        <v>121</v>
      </c>
      <c r="C45" s="47">
        <v>0.4</v>
      </c>
      <c r="D45" s="48">
        <v>45868.0</v>
      </c>
      <c r="E45" s="48">
        <v>45870.0</v>
      </c>
      <c r="F45" s="46" t="s">
        <v>122</v>
      </c>
      <c r="G45" s="49">
        <v>4.0</v>
      </c>
      <c r="H45" s="49">
        <v>2.0</v>
      </c>
      <c r="I45" s="49">
        <v>2.0</v>
      </c>
      <c r="J45" s="49">
        <v>0.0</v>
      </c>
      <c r="K45" s="49">
        <v>4.0</v>
      </c>
      <c r="L45" s="49">
        <v>2.0</v>
      </c>
      <c r="M45" s="49">
        <v>2.0</v>
      </c>
      <c r="N45" s="49">
        <v>0.0</v>
      </c>
      <c r="O45" s="46" t="b">
        <v>0</v>
      </c>
    </row>
    <row r="46">
      <c r="A46" s="46" t="s">
        <v>48</v>
      </c>
      <c r="B46" s="46" t="s">
        <v>123</v>
      </c>
      <c r="C46" s="47">
        <v>0.4</v>
      </c>
      <c r="D46" s="48">
        <v>45898.0</v>
      </c>
      <c r="E46" s="48">
        <v>45902.0</v>
      </c>
      <c r="F46" s="46" t="s">
        <v>124</v>
      </c>
      <c r="G46" s="49">
        <v>4.0</v>
      </c>
      <c r="H46" s="49">
        <v>2.0</v>
      </c>
      <c r="I46" s="49">
        <v>2.0</v>
      </c>
      <c r="J46" s="49">
        <v>0.0</v>
      </c>
      <c r="K46" s="49">
        <v>4.0</v>
      </c>
      <c r="L46" s="49">
        <v>2.0</v>
      </c>
      <c r="M46" s="49">
        <v>2.0</v>
      </c>
      <c r="N46" s="49">
        <v>0.0</v>
      </c>
      <c r="O46" s="46" t="b">
        <v>0</v>
      </c>
    </row>
    <row r="47">
      <c r="A47" s="46" t="s">
        <v>48</v>
      </c>
      <c r="B47" s="46" t="s">
        <v>125</v>
      </c>
      <c r="C47" s="47">
        <v>0.2</v>
      </c>
      <c r="D47" s="48">
        <v>45903.0</v>
      </c>
      <c r="E47" s="48">
        <v>45904.0</v>
      </c>
      <c r="F47" s="46" t="s">
        <v>126</v>
      </c>
      <c r="G47" s="49">
        <v>3.0</v>
      </c>
      <c r="H47" s="49">
        <v>2.0</v>
      </c>
      <c r="I47" s="49">
        <v>1.0</v>
      </c>
      <c r="J47" s="49">
        <v>0.0</v>
      </c>
      <c r="K47" s="49">
        <v>3.0</v>
      </c>
      <c r="L47" s="49">
        <v>2.0</v>
      </c>
      <c r="M47" s="49">
        <v>1.0</v>
      </c>
      <c r="N47" s="49">
        <v>0.0</v>
      </c>
      <c r="O47" s="46" t="b">
        <v>0</v>
      </c>
    </row>
    <row r="48">
      <c r="A48" s="46" t="s">
        <v>48</v>
      </c>
      <c r="B48" s="46" t="s">
        <v>127</v>
      </c>
      <c r="C48" s="47">
        <v>0.2</v>
      </c>
      <c r="D48" s="48">
        <v>45905.0</v>
      </c>
      <c r="E48" s="48">
        <v>45908.0</v>
      </c>
      <c r="F48" s="46" t="s">
        <v>128</v>
      </c>
      <c r="G48" s="49">
        <v>3.0</v>
      </c>
      <c r="H48" s="49">
        <v>2.0</v>
      </c>
      <c r="I48" s="49">
        <v>1.0</v>
      </c>
      <c r="J48" s="49">
        <v>0.0</v>
      </c>
      <c r="K48" s="49">
        <v>3.0</v>
      </c>
      <c r="L48" s="49">
        <v>2.0</v>
      </c>
      <c r="M48" s="49">
        <v>1.0</v>
      </c>
      <c r="N48" s="49">
        <v>0.0</v>
      </c>
      <c r="O48" s="46" t="b">
        <v>0</v>
      </c>
    </row>
    <row r="49">
      <c r="A49" s="46" t="s">
        <v>48</v>
      </c>
      <c r="B49" s="46" t="s">
        <v>129</v>
      </c>
      <c r="C49" s="47">
        <v>0.2</v>
      </c>
      <c r="D49" s="48">
        <v>45909.0</v>
      </c>
      <c r="E49" s="48">
        <v>45910.0</v>
      </c>
      <c r="F49" s="46" t="s">
        <v>130</v>
      </c>
      <c r="G49" s="49">
        <v>3.0</v>
      </c>
      <c r="H49" s="49">
        <v>2.0</v>
      </c>
      <c r="I49" s="49">
        <v>1.0</v>
      </c>
      <c r="J49" s="49">
        <v>0.0</v>
      </c>
      <c r="K49" s="49">
        <v>3.0</v>
      </c>
      <c r="L49" s="49">
        <v>2.0</v>
      </c>
      <c r="M49" s="49">
        <v>1.0</v>
      </c>
      <c r="N49" s="49">
        <v>0.0</v>
      </c>
      <c r="O49" s="46" t="b">
        <v>0</v>
      </c>
    </row>
    <row r="50">
      <c r="A50" s="46" t="s">
        <v>48</v>
      </c>
      <c r="B50" s="46" t="s">
        <v>131</v>
      </c>
      <c r="C50" s="47">
        <v>0.2</v>
      </c>
      <c r="D50" s="48">
        <v>45855.0</v>
      </c>
      <c r="E50" s="48">
        <v>45856.0</v>
      </c>
      <c r="F50" s="46" t="s">
        <v>132</v>
      </c>
      <c r="G50" s="49">
        <v>2.0</v>
      </c>
      <c r="H50" s="49">
        <v>0.5</v>
      </c>
      <c r="I50" s="49">
        <v>0.0</v>
      </c>
      <c r="J50" s="49">
        <v>0.0</v>
      </c>
      <c r="K50" s="49">
        <v>2.0</v>
      </c>
      <c r="L50" s="49">
        <v>0.5</v>
      </c>
      <c r="M50" s="49">
        <v>0.0</v>
      </c>
      <c r="N50" s="49">
        <v>0.0</v>
      </c>
      <c r="O50" s="46" t="b">
        <v>0</v>
      </c>
    </row>
    <row r="51">
      <c r="A51" s="46" t="s">
        <v>48</v>
      </c>
      <c r="B51" s="46" t="s">
        <v>133</v>
      </c>
      <c r="C51" s="47">
        <v>0.2</v>
      </c>
      <c r="D51" s="48">
        <v>45855.0</v>
      </c>
      <c r="E51" s="48">
        <v>45856.0</v>
      </c>
      <c r="F51" s="46" t="s">
        <v>134</v>
      </c>
      <c r="G51" s="49">
        <v>1.0</v>
      </c>
      <c r="H51" s="49">
        <v>0.5</v>
      </c>
      <c r="I51" s="49">
        <v>0.0</v>
      </c>
      <c r="J51" s="49">
        <v>0.0</v>
      </c>
      <c r="K51" s="49">
        <v>1.0</v>
      </c>
      <c r="L51" s="49">
        <v>0.5</v>
      </c>
      <c r="M51" s="49">
        <v>0.0</v>
      </c>
      <c r="N51" s="49">
        <v>0.0</v>
      </c>
      <c r="O51" s="46" t="b">
        <v>0</v>
      </c>
    </row>
    <row r="52">
      <c r="A52" s="46" t="s">
        <v>48</v>
      </c>
      <c r="B52" s="46" t="s">
        <v>135</v>
      </c>
      <c r="C52" s="47">
        <v>0.2</v>
      </c>
      <c r="D52" s="48">
        <v>45855.0</v>
      </c>
      <c r="E52" s="48">
        <v>45856.0</v>
      </c>
      <c r="F52" s="46" t="s">
        <v>134</v>
      </c>
      <c r="G52" s="49">
        <v>1.0</v>
      </c>
      <c r="H52" s="49">
        <v>0.5</v>
      </c>
      <c r="I52" s="49">
        <v>0.0</v>
      </c>
      <c r="J52" s="49">
        <v>0.0</v>
      </c>
      <c r="K52" s="49">
        <v>1.0</v>
      </c>
      <c r="L52" s="49">
        <v>0.5</v>
      </c>
      <c r="M52" s="49">
        <v>0.0</v>
      </c>
      <c r="N52" s="49">
        <v>0.0</v>
      </c>
      <c r="O52" s="46" t="b">
        <v>1</v>
      </c>
    </row>
    <row r="53">
      <c r="A53" s="46" t="s">
        <v>48</v>
      </c>
      <c r="B53" s="46" t="s">
        <v>136</v>
      </c>
      <c r="C53" s="47">
        <v>0.2</v>
      </c>
      <c r="D53" s="48">
        <v>45855.0</v>
      </c>
      <c r="E53" s="48">
        <v>45856.0</v>
      </c>
      <c r="F53" s="46" t="s">
        <v>137</v>
      </c>
      <c r="G53" s="49">
        <v>1.0</v>
      </c>
      <c r="H53" s="49">
        <v>0.5</v>
      </c>
      <c r="I53" s="49">
        <v>0.0</v>
      </c>
      <c r="J53" s="49">
        <v>0.0</v>
      </c>
      <c r="K53" s="49">
        <v>1.0</v>
      </c>
      <c r="L53" s="49">
        <v>0.5</v>
      </c>
      <c r="M53" s="49">
        <v>0.0</v>
      </c>
      <c r="N53" s="49">
        <v>0.0</v>
      </c>
      <c r="O53" s="46" t="b">
        <v>0</v>
      </c>
    </row>
    <row r="54">
      <c r="A54" s="46" t="s">
        <v>48</v>
      </c>
      <c r="B54" s="46" t="s">
        <v>138</v>
      </c>
      <c r="C54" s="47">
        <v>0.2</v>
      </c>
      <c r="D54" s="48">
        <v>45855.0</v>
      </c>
      <c r="E54" s="48">
        <v>45856.0</v>
      </c>
      <c r="F54" s="46" t="s">
        <v>137</v>
      </c>
      <c r="G54" s="49">
        <v>1.0</v>
      </c>
      <c r="H54" s="49">
        <v>0.5</v>
      </c>
      <c r="I54" s="49">
        <v>0.0</v>
      </c>
      <c r="J54" s="49">
        <v>0.0</v>
      </c>
      <c r="K54" s="49">
        <v>1.0</v>
      </c>
      <c r="L54" s="49">
        <v>0.5</v>
      </c>
      <c r="M54" s="49">
        <v>0.0</v>
      </c>
      <c r="N54" s="49">
        <v>0.0</v>
      </c>
      <c r="O54" s="46" t="b">
        <v>1</v>
      </c>
    </row>
    <row r="55">
      <c r="A55" s="46" t="s">
        <v>48</v>
      </c>
      <c r="B55" s="46" t="s">
        <v>139</v>
      </c>
      <c r="C55" s="47">
        <v>0.2</v>
      </c>
      <c r="D55" s="48">
        <v>45855.0</v>
      </c>
      <c r="E55" s="48">
        <v>45856.0</v>
      </c>
      <c r="F55" s="46" t="s">
        <v>140</v>
      </c>
      <c r="G55" s="49">
        <v>1.0</v>
      </c>
      <c r="H55" s="49">
        <v>0.5</v>
      </c>
      <c r="I55" s="49">
        <v>0.0</v>
      </c>
      <c r="J55" s="49">
        <v>0.0</v>
      </c>
      <c r="K55" s="49">
        <v>1.0</v>
      </c>
      <c r="L55" s="49">
        <v>0.5</v>
      </c>
      <c r="M55" s="49">
        <v>0.0</v>
      </c>
      <c r="N55" s="49">
        <v>0.0</v>
      </c>
      <c r="O55" s="46" t="b">
        <v>0</v>
      </c>
    </row>
    <row r="56">
      <c r="A56" s="46" t="s">
        <v>48</v>
      </c>
      <c r="B56" s="46" t="s">
        <v>141</v>
      </c>
      <c r="C56" s="47">
        <v>0.2</v>
      </c>
      <c r="D56" s="48">
        <v>45855.0</v>
      </c>
      <c r="E56" s="48">
        <v>45856.0</v>
      </c>
      <c r="F56" s="46" t="s">
        <v>142</v>
      </c>
      <c r="G56" s="49">
        <v>1.0</v>
      </c>
      <c r="H56" s="49">
        <v>0.5</v>
      </c>
      <c r="I56" s="49">
        <v>0.0</v>
      </c>
      <c r="J56" s="49">
        <v>0.0</v>
      </c>
      <c r="K56" s="49">
        <v>1.0</v>
      </c>
      <c r="L56" s="49">
        <v>0.5</v>
      </c>
      <c r="M56" s="49">
        <v>0.0</v>
      </c>
      <c r="N56" s="49">
        <v>0.0</v>
      </c>
      <c r="O56" s="46" t="b">
        <v>0</v>
      </c>
    </row>
    <row r="57">
      <c r="A57" s="46" t="s">
        <v>48</v>
      </c>
      <c r="B57" s="46" t="s">
        <v>143</v>
      </c>
      <c r="C57" s="47">
        <v>0.2</v>
      </c>
      <c r="D57" s="48">
        <v>45855.0</v>
      </c>
      <c r="E57" s="48">
        <v>45856.0</v>
      </c>
      <c r="F57" s="46" t="s">
        <v>144</v>
      </c>
      <c r="G57" s="49">
        <v>1.0</v>
      </c>
      <c r="H57" s="49">
        <v>0.5</v>
      </c>
      <c r="I57" s="49">
        <v>0.0</v>
      </c>
      <c r="J57" s="49">
        <v>0.0</v>
      </c>
      <c r="K57" s="49">
        <v>1.0</v>
      </c>
      <c r="L57" s="49">
        <v>0.5</v>
      </c>
      <c r="M57" s="49">
        <v>0.0</v>
      </c>
      <c r="N57" s="49">
        <v>0.0</v>
      </c>
      <c r="O57" s="46" t="b">
        <v>0</v>
      </c>
    </row>
    <row r="58">
      <c r="A58" s="46" t="s">
        <v>48</v>
      </c>
      <c r="B58" s="46" t="s">
        <v>145</v>
      </c>
      <c r="C58" s="47">
        <v>0.2</v>
      </c>
      <c r="D58" s="48">
        <v>45911.0</v>
      </c>
      <c r="E58" s="48">
        <v>45912.0</v>
      </c>
      <c r="F58" s="46" t="s">
        <v>146</v>
      </c>
      <c r="G58" s="49">
        <v>1.0</v>
      </c>
      <c r="H58" s="49">
        <v>1.0</v>
      </c>
      <c r="I58" s="49">
        <v>0.0</v>
      </c>
      <c r="J58" s="49">
        <v>0.0</v>
      </c>
      <c r="K58" s="49">
        <v>1.0</v>
      </c>
      <c r="L58" s="49">
        <v>1.0</v>
      </c>
      <c r="M58" s="49">
        <v>0.0</v>
      </c>
      <c r="N58" s="49">
        <v>0.0</v>
      </c>
      <c r="O58" s="46" t="b">
        <v>0</v>
      </c>
    </row>
    <row r="59">
      <c r="A59" s="46" t="s">
        <v>48</v>
      </c>
      <c r="B59" s="46" t="s">
        <v>147</v>
      </c>
      <c r="C59" s="47">
        <v>0.2</v>
      </c>
      <c r="D59" s="48">
        <v>45915.0</v>
      </c>
      <c r="E59" s="48">
        <v>45917.0</v>
      </c>
      <c r="F59" s="46" t="s">
        <v>148</v>
      </c>
      <c r="G59" s="49">
        <v>1.0</v>
      </c>
      <c r="H59" s="49">
        <v>0.5</v>
      </c>
      <c r="I59" s="49">
        <v>0.0</v>
      </c>
      <c r="J59" s="49">
        <v>0.0</v>
      </c>
      <c r="K59" s="49">
        <v>1.0</v>
      </c>
      <c r="L59" s="49">
        <v>0.5</v>
      </c>
      <c r="M59" s="49">
        <v>0.0</v>
      </c>
      <c r="N59" s="49">
        <v>0.0</v>
      </c>
      <c r="O59" s="46" t="b">
        <v>0</v>
      </c>
    </row>
    <row r="60">
      <c r="A60" s="46" t="s">
        <v>48</v>
      </c>
      <c r="B60" s="46" t="s">
        <v>149</v>
      </c>
      <c r="C60" s="47">
        <v>0.2</v>
      </c>
      <c r="D60" s="48">
        <v>45918.0</v>
      </c>
      <c r="E60" s="48">
        <v>45919.0</v>
      </c>
      <c r="F60" s="46" t="s">
        <v>150</v>
      </c>
      <c r="G60" s="49">
        <v>1.0</v>
      </c>
      <c r="H60" s="49">
        <v>1.0</v>
      </c>
      <c r="I60" s="49">
        <v>0.0</v>
      </c>
      <c r="J60" s="49">
        <v>0.0</v>
      </c>
      <c r="K60" s="49">
        <v>1.0</v>
      </c>
      <c r="L60" s="49">
        <v>1.0</v>
      </c>
      <c r="M60" s="49">
        <v>0.0</v>
      </c>
      <c r="N60" s="49">
        <v>0.0</v>
      </c>
      <c r="O60" s="46" t="b">
        <v>0</v>
      </c>
    </row>
    <row r="61">
      <c r="A61" s="46" t="s">
        <v>48</v>
      </c>
      <c r="B61" s="46" t="s">
        <v>151</v>
      </c>
      <c r="C61" s="47">
        <v>0.2</v>
      </c>
      <c r="D61" s="48">
        <v>45922.0</v>
      </c>
      <c r="E61" s="48">
        <v>45923.0</v>
      </c>
      <c r="F61" s="46" t="s">
        <v>152</v>
      </c>
      <c r="G61" s="49">
        <v>1.0</v>
      </c>
      <c r="H61" s="49">
        <v>1.0</v>
      </c>
      <c r="I61" s="49">
        <v>0.0</v>
      </c>
      <c r="J61" s="49">
        <v>0.0</v>
      </c>
      <c r="K61" s="49">
        <v>1.0</v>
      </c>
      <c r="L61" s="49">
        <v>1.0</v>
      </c>
      <c r="M61" s="49">
        <v>0.0</v>
      </c>
      <c r="N61" s="49">
        <v>0.0</v>
      </c>
      <c r="O61" s="46" t="b">
        <v>0</v>
      </c>
    </row>
    <row r="62">
      <c r="A62" s="46" t="s">
        <v>48</v>
      </c>
      <c r="B62" s="46" t="s">
        <v>153</v>
      </c>
      <c r="C62" s="47">
        <v>0.2</v>
      </c>
      <c r="D62" s="48">
        <v>45915.0</v>
      </c>
      <c r="E62" s="48">
        <v>45917.0</v>
      </c>
      <c r="F62" s="46" t="s">
        <v>154</v>
      </c>
      <c r="G62" s="49">
        <v>3.5</v>
      </c>
      <c r="H62" s="49">
        <v>1.0</v>
      </c>
      <c r="I62" s="49">
        <v>0.5</v>
      </c>
      <c r="J62" s="49">
        <v>0.0</v>
      </c>
      <c r="K62" s="49">
        <v>3.5</v>
      </c>
      <c r="L62" s="49">
        <v>1.0</v>
      </c>
      <c r="M62" s="49">
        <v>0.5</v>
      </c>
      <c r="N62" s="49">
        <v>0.0</v>
      </c>
      <c r="O62" s="46" t="b">
        <v>0</v>
      </c>
    </row>
    <row r="63">
      <c r="A63" s="46" t="s">
        <v>48</v>
      </c>
      <c r="B63" s="46" t="s">
        <v>155</v>
      </c>
      <c r="C63" s="47">
        <v>0.2</v>
      </c>
      <c r="D63" s="48">
        <v>45924.0</v>
      </c>
      <c r="E63" s="48">
        <v>45925.0</v>
      </c>
      <c r="F63" s="46" t="s">
        <v>156</v>
      </c>
      <c r="G63" s="49">
        <v>3.5</v>
      </c>
      <c r="H63" s="49">
        <v>1.0</v>
      </c>
      <c r="I63" s="49">
        <v>0.5</v>
      </c>
      <c r="J63" s="49">
        <v>0.0</v>
      </c>
      <c r="K63" s="49">
        <v>3.5</v>
      </c>
      <c r="L63" s="49">
        <v>1.0</v>
      </c>
      <c r="M63" s="49">
        <v>0.5</v>
      </c>
      <c r="N63" s="49">
        <v>0.0</v>
      </c>
      <c r="O63" s="46" t="b">
        <v>0</v>
      </c>
    </row>
    <row r="64">
      <c r="A64" s="46" t="s">
        <v>48</v>
      </c>
      <c r="B64" s="46" t="s">
        <v>157</v>
      </c>
      <c r="C64" s="47">
        <v>0.2</v>
      </c>
      <c r="D64" s="48">
        <v>45926.0</v>
      </c>
      <c r="E64" s="48">
        <v>45929.0</v>
      </c>
      <c r="F64" s="46" t="s">
        <v>158</v>
      </c>
      <c r="G64" s="49">
        <v>3.0</v>
      </c>
      <c r="H64" s="49">
        <v>1.0</v>
      </c>
      <c r="I64" s="49">
        <v>0.0</v>
      </c>
      <c r="J64" s="49">
        <v>0.0</v>
      </c>
      <c r="K64" s="49">
        <v>3.0</v>
      </c>
      <c r="L64" s="49">
        <v>1.0</v>
      </c>
      <c r="M64" s="49">
        <v>0.0</v>
      </c>
      <c r="N64" s="49">
        <v>0.0</v>
      </c>
      <c r="O64" s="46" t="b">
        <v>0</v>
      </c>
    </row>
    <row r="65">
      <c r="A65" s="46" t="s">
        <v>48</v>
      </c>
      <c r="B65" s="46" t="s">
        <v>159</v>
      </c>
      <c r="C65" s="47">
        <v>0.2</v>
      </c>
      <c r="D65" s="48">
        <v>45930.0</v>
      </c>
      <c r="E65" s="48">
        <v>45931.0</v>
      </c>
      <c r="F65" s="46" t="s">
        <v>160</v>
      </c>
      <c r="G65" s="49">
        <v>3.5</v>
      </c>
      <c r="H65" s="49">
        <v>1.0</v>
      </c>
      <c r="I65" s="49">
        <v>0.5</v>
      </c>
      <c r="J65" s="49">
        <v>0.0</v>
      </c>
      <c r="K65" s="49">
        <v>3.5</v>
      </c>
      <c r="L65" s="49">
        <v>1.0</v>
      </c>
      <c r="M65" s="49">
        <v>0.5</v>
      </c>
      <c r="N65" s="49">
        <v>0.0</v>
      </c>
      <c r="O65" s="46" t="b">
        <v>0</v>
      </c>
    </row>
    <row r="66">
      <c r="A66" s="46" t="s">
        <v>48</v>
      </c>
      <c r="B66" s="46" t="s">
        <v>161</v>
      </c>
      <c r="C66" s="47">
        <v>0.2</v>
      </c>
      <c r="D66" s="48">
        <v>45932.0</v>
      </c>
      <c r="E66" s="48">
        <v>45933.0</v>
      </c>
      <c r="F66" s="46" t="s">
        <v>162</v>
      </c>
      <c r="G66" s="49">
        <v>2.5</v>
      </c>
      <c r="H66" s="49">
        <v>1.0</v>
      </c>
      <c r="I66" s="49">
        <v>0.5</v>
      </c>
      <c r="J66" s="49">
        <v>0.0</v>
      </c>
      <c r="K66" s="49">
        <v>2.5</v>
      </c>
      <c r="L66" s="49">
        <v>1.0</v>
      </c>
      <c r="M66" s="49">
        <v>0.5</v>
      </c>
      <c r="N66" s="49">
        <v>0.0</v>
      </c>
      <c r="O66" s="46" t="b">
        <v>0</v>
      </c>
    </row>
    <row r="67">
      <c r="A67" s="46" t="s">
        <v>48</v>
      </c>
      <c r="B67" s="46" t="s">
        <v>163</v>
      </c>
      <c r="C67" s="47">
        <v>0.2</v>
      </c>
      <c r="D67" s="48">
        <v>45936.0</v>
      </c>
      <c r="E67" s="48">
        <v>45937.0</v>
      </c>
      <c r="F67" s="46" t="s">
        <v>164</v>
      </c>
      <c r="G67" s="49">
        <v>3.0</v>
      </c>
      <c r="H67" s="49">
        <v>2.0</v>
      </c>
      <c r="I67" s="49">
        <v>1.0</v>
      </c>
      <c r="J67" s="49">
        <v>0.0</v>
      </c>
      <c r="K67" s="49">
        <v>3.0</v>
      </c>
      <c r="L67" s="49">
        <v>2.0</v>
      </c>
      <c r="M67" s="49">
        <v>1.0</v>
      </c>
      <c r="N67" s="49">
        <v>0.0</v>
      </c>
      <c r="O67" s="46" t="b">
        <v>0</v>
      </c>
    </row>
    <row r="68">
      <c r="A68" s="46" t="s">
        <v>48</v>
      </c>
      <c r="B68" s="46" t="s">
        <v>165</v>
      </c>
      <c r="C68" s="47">
        <v>0.2</v>
      </c>
      <c r="D68" s="48">
        <v>45847.0</v>
      </c>
      <c r="E68" s="48">
        <v>45848.0</v>
      </c>
      <c r="F68" s="46" t="s">
        <v>166</v>
      </c>
      <c r="G68" s="49">
        <v>2.0</v>
      </c>
      <c r="H68" s="49">
        <v>0.5</v>
      </c>
      <c r="I68" s="49">
        <v>0.0</v>
      </c>
      <c r="J68" s="49">
        <v>0.0</v>
      </c>
      <c r="K68" s="49">
        <v>2.0</v>
      </c>
      <c r="L68" s="49">
        <v>0.5</v>
      </c>
      <c r="M68" s="49">
        <v>0.0</v>
      </c>
      <c r="N68" s="49">
        <v>0.0</v>
      </c>
      <c r="O68" s="46" t="b">
        <v>0</v>
      </c>
    </row>
    <row r="69">
      <c r="A69" s="46" t="s">
        <v>48</v>
      </c>
      <c r="B69" s="46" t="s">
        <v>167</v>
      </c>
      <c r="C69" s="47">
        <v>0.2</v>
      </c>
      <c r="D69" s="48">
        <v>45847.0</v>
      </c>
      <c r="E69" s="48">
        <v>45848.0</v>
      </c>
      <c r="F69" s="46" t="s">
        <v>166</v>
      </c>
      <c r="G69" s="49">
        <v>3.0</v>
      </c>
      <c r="H69" s="49">
        <v>1.0</v>
      </c>
      <c r="I69" s="49">
        <v>0.0</v>
      </c>
      <c r="J69" s="49">
        <v>0.0</v>
      </c>
      <c r="K69" s="49">
        <v>3.0</v>
      </c>
      <c r="L69" s="49">
        <v>1.0</v>
      </c>
      <c r="M69" s="49">
        <v>0.0</v>
      </c>
      <c r="N69" s="49">
        <v>0.0</v>
      </c>
      <c r="O69" s="46" t="b">
        <v>0</v>
      </c>
    </row>
    <row r="70">
      <c r="A70" s="46" t="s">
        <v>48</v>
      </c>
      <c r="B70" s="46" t="s">
        <v>168</v>
      </c>
      <c r="C70" s="47">
        <v>0.2</v>
      </c>
      <c r="D70" s="48">
        <v>45849.0</v>
      </c>
      <c r="E70" s="48">
        <v>45852.0</v>
      </c>
      <c r="F70" s="46" t="s">
        <v>169</v>
      </c>
      <c r="G70" s="49">
        <v>3.0</v>
      </c>
      <c r="H70" s="49">
        <v>1.0</v>
      </c>
      <c r="I70" s="49">
        <v>0.0</v>
      </c>
      <c r="J70" s="49">
        <v>0.0</v>
      </c>
      <c r="K70" s="49">
        <v>3.0</v>
      </c>
      <c r="L70" s="49">
        <v>1.0</v>
      </c>
      <c r="M70" s="49">
        <v>0.0</v>
      </c>
      <c r="N70" s="49">
        <v>0.0</v>
      </c>
      <c r="O70" s="46" t="b">
        <v>0</v>
      </c>
    </row>
    <row r="71">
      <c r="A71" s="46" t="s">
        <v>48</v>
      </c>
      <c r="B71" s="46" t="s">
        <v>170</v>
      </c>
      <c r="C71" s="47">
        <v>0.2</v>
      </c>
      <c r="D71" s="48">
        <v>45849.0</v>
      </c>
      <c r="E71" s="48">
        <v>45852.0</v>
      </c>
      <c r="F71" s="46" t="s">
        <v>166</v>
      </c>
      <c r="G71" s="49">
        <v>2.0</v>
      </c>
      <c r="H71" s="49">
        <v>0.5</v>
      </c>
      <c r="I71" s="49">
        <v>0.0</v>
      </c>
      <c r="J71" s="49">
        <v>0.0</v>
      </c>
      <c r="K71" s="49">
        <v>2.0</v>
      </c>
      <c r="L71" s="49">
        <v>0.5</v>
      </c>
      <c r="M71" s="49">
        <v>0.0</v>
      </c>
      <c r="N71" s="49">
        <v>0.0</v>
      </c>
      <c r="O71" s="46" t="b">
        <v>0</v>
      </c>
    </row>
    <row r="72">
      <c r="A72" s="46" t="s">
        <v>48</v>
      </c>
      <c r="B72" s="46" t="s">
        <v>171</v>
      </c>
      <c r="C72" s="47">
        <v>0.2</v>
      </c>
      <c r="D72" s="48">
        <v>45853.0</v>
      </c>
      <c r="E72" s="48">
        <v>45854.0</v>
      </c>
      <c r="F72" s="46" t="s">
        <v>172</v>
      </c>
      <c r="G72" s="49">
        <v>2.0</v>
      </c>
      <c r="H72" s="49">
        <v>0.5</v>
      </c>
      <c r="I72" s="49">
        <v>0.0</v>
      </c>
      <c r="J72" s="49">
        <v>0.0</v>
      </c>
      <c r="K72" s="49">
        <v>2.0</v>
      </c>
      <c r="L72" s="49">
        <v>0.5</v>
      </c>
      <c r="M72" s="49">
        <v>0.0</v>
      </c>
      <c r="N72" s="49">
        <v>0.0</v>
      </c>
      <c r="O72" s="46" t="b">
        <v>0</v>
      </c>
    </row>
    <row r="73">
      <c r="A73" s="46" t="s">
        <v>48</v>
      </c>
      <c r="B73" s="46" t="s">
        <v>173</v>
      </c>
      <c r="C73" s="47">
        <v>0.2</v>
      </c>
      <c r="D73" s="48">
        <v>45853.0</v>
      </c>
      <c r="E73" s="48">
        <v>45854.0</v>
      </c>
      <c r="F73" s="46" t="s">
        <v>174</v>
      </c>
      <c r="G73" s="49">
        <v>2.5</v>
      </c>
      <c r="H73" s="49">
        <v>1.0</v>
      </c>
      <c r="I73" s="49">
        <v>0.0</v>
      </c>
      <c r="J73" s="49">
        <v>0.0</v>
      </c>
      <c r="K73" s="49">
        <v>2.5</v>
      </c>
      <c r="L73" s="49">
        <v>1.0</v>
      </c>
      <c r="M73" s="49">
        <v>0.0</v>
      </c>
      <c r="N73" s="49">
        <v>0.0</v>
      </c>
      <c r="O73" s="46" t="b">
        <v>0</v>
      </c>
    </row>
    <row r="74">
      <c r="A74" s="46" t="s">
        <v>48</v>
      </c>
      <c r="B74" s="46" t="s">
        <v>175</v>
      </c>
      <c r="C74" s="47">
        <v>0.2</v>
      </c>
      <c r="D74" s="48">
        <v>45855.0</v>
      </c>
      <c r="E74" s="48">
        <v>45856.0</v>
      </c>
      <c r="F74" s="46" t="s">
        <v>176</v>
      </c>
      <c r="G74" s="49">
        <v>1.5</v>
      </c>
      <c r="H74" s="49">
        <v>0.5</v>
      </c>
      <c r="I74" s="49">
        <v>0.0</v>
      </c>
      <c r="J74" s="49">
        <v>0.0</v>
      </c>
      <c r="K74" s="49">
        <v>1.5</v>
      </c>
      <c r="L74" s="49">
        <v>0.5</v>
      </c>
      <c r="M74" s="49">
        <v>0.0</v>
      </c>
      <c r="N74" s="49">
        <v>0.0</v>
      </c>
      <c r="O74" s="46" t="b">
        <v>0</v>
      </c>
    </row>
    <row r="75">
      <c r="A75" s="46" t="s">
        <v>48</v>
      </c>
      <c r="B75" s="46" t="s">
        <v>177</v>
      </c>
      <c r="C75" s="47">
        <v>0.2</v>
      </c>
      <c r="D75" s="48">
        <v>45855.0</v>
      </c>
      <c r="E75" s="48">
        <v>45856.0</v>
      </c>
      <c r="F75" s="46" t="s">
        <v>178</v>
      </c>
      <c r="G75" s="49">
        <v>1.5</v>
      </c>
      <c r="H75" s="49">
        <v>0.5</v>
      </c>
      <c r="I75" s="49">
        <v>0.0</v>
      </c>
      <c r="J75" s="49">
        <v>0.0</v>
      </c>
      <c r="K75" s="49">
        <v>1.5</v>
      </c>
      <c r="L75" s="49">
        <v>0.5</v>
      </c>
      <c r="M75" s="49">
        <v>0.0</v>
      </c>
      <c r="N75" s="49">
        <v>0.0</v>
      </c>
      <c r="O75" s="46" t="b">
        <v>0</v>
      </c>
    </row>
    <row r="76">
      <c r="A76" s="46" t="s">
        <v>48</v>
      </c>
      <c r="B76" s="46" t="s">
        <v>179</v>
      </c>
      <c r="C76" s="47">
        <v>0.2</v>
      </c>
      <c r="D76" s="48">
        <v>45855.0</v>
      </c>
      <c r="E76" s="48">
        <v>45856.0</v>
      </c>
      <c r="F76" s="46" t="s">
        <v>180</v>
      </c>
      <c r="G76" s="49">
        <v>1.0</v>
      </c>
      <c r="H76" s="49">
        <v>0.5</v>
      </c>
      <c r="I76" s="49">
        <v>0.0</v>
      </c>
      <c r="J76" s="49">
        <v>0.0</v>
      </c>
      <c r="K76" s="49">
        <v>1.0</v>
      </c>
      <c r="L76" s="49">
        <v>0.5</v>
      </c>
      <c r="M76" s="49">
        <v>0.0</v>
      </c>
      <c r="N76" s="49">
        <v>0.0</v>
      </c>
      <c r="O76" s="46" t="b">
        <v>0</v>
      </c>
    </row>
    <row r="77">
      <c r="A77" s="46" t="s">
        <v>48</v>
      </c>
      <c r="B77" s="46" t="s">
        <v>181</v>
      </c>
      <c r="C77" s="47">
        <v>0.2</v>
      </c>
      <c r="D77" s="48">
        <v>45855.0</v>
      </c>
      <c r="E77" s="48">
        <v>45856.0</v>
      </c>
      <c r="F77" s="46" t="s">
        <v>182</v>
      </c>
      <c r="G77" s="49">
        <v>1.0</v>
      </c>
      <c r="H77" s="49">
        <v>0.5</v>
      </c>
      <c r="I77" s="49">
        <v>0.0</v>
      </c>
      <c r="J77" s="49">
        <v>0.0</v>
      </c>
      <c r="K77" s="49">
        <v>1.0</v>
      </c>
      <c r="L77" s="49">
        <v>0.5</v>
      </c>
      <c r="M77" s="49">
        <v>0.0</v>
      </c>
      <c r="N77" s="49">
        <v>0.0</v>
      </c>
      <c r="O77" s="46" t="b">
        <v>0</v>
      </c>
    </row>
    <row r="78">
      <c r="A78" s="46" t="s">
        <v>48</v>
      </c>
      <c r="B78" s="46" t="s">
        <v>183</v>
      </c>
      <c r="C78" s="47">
        <v>0.2</v>
      </c>
      <c r="D78" s="48">
        <v>45855.0</v>
      </c>
      <c r="E78" s="48">
        <v>45856.0</v>
      </c>
      <c r="F78" s="46" t="s">
        <v>184</v>
      </c>
      <c r="G78" s="49">
        <v>1.0</v>
      </c>
      <c r="H78" s="49">
        <v>0.5</v>
      </c>
      <c r="I78" s="49">
        <v>0.0</v>
      </c>
      <c r="J78" s="49">
        <v>0.0</v>
      </c>
      <c r="K78" s="49">
        <v>1.0</v>
      </c>
      <c r="L78" s="49">
        <v>0.5</v>
      </c>
      <c r="M78" s="49">
        <v>0.0</v>
      </c>
      <c r="N78" s="49">
        <v>0.0</v>
      </c>
      <c r="O78" s="46" t="b">
        <v>0</v>
      </c>
    </row>
    <row r="79">
      <c r="A79" s="46" t="s">
        <v>185</v>
      </c>
      <c r="B79" s="46" t="s">
        <v>186</v>
      </c>
      <c r="C79" s="47">
        <v>0.8</v>
      </c>
      <c r="D79" s="48">
        <v>45939.0</v>
      </c>
      <c r="E79" s="48">
        <v>45945.0</v>
      </c>
      <c r="F79" s="46" t="s">
        <v>187</v>
      </c>
      <c r="G79" s="49">
        <v>0.0</v>
      </c>
      <c r="H79" s="49">
        <v>0.0</v>
      </c>
      <c r="I79" s="49">
        <v>0.0</v>
      </c>
      <c r="J79" s="49">
        <v>10.0</v>
      </c>
      <c r="K79" s="49">
        <v>0.0</v>
      </c>
      <c r="L79" s="49">
        <v>0.0</v>
      </c>
      <c r="M79" s="49">
        <v>0.0</v>
      </c>
      <c r="N79" s="49">
        <v>10.0</v>
      </c>
      <c r="O79" s="46" t="b">
        <v>0</v>
      </c>
    </row>
    <row r="80">
      <c r="A80" s="46" t="s">
        <v>185</v>
      </c>
      <c r="B80" s="46" t="s">
        <v>188</v>
      </c>
      <c r="C80" s="47">
        <v>0.8</v>
      </c>
      <c r="D80" s="48">
        <v>45946.0</v>
      </c>
      <c r="E80" s="48">
        <v>45952.0</v>
      </c>
      <c r="F80" s="46" t="s">
        <v>189</v>
      </c>
      <c r="G80" s="49">
        <v>0.0</v>
      </c>
      <c r="H80" s="49">
        <v>0.0</v>
      </c>
      <c r="I80" s="49">
        <v>0.0</v>
      </c>
      <c r="J80" s="49">
        <v>10.0</v>
      </c>
      <c r="K80" s="49">
        <v>0.0</v>
      </c>
      <c r="L80" s="49">
        <v>0.0</v>
      </c>
      <c r="M80" s="49">
        <v>0.0</v>
      </c>
      <c r="N80" s="49">
        <v>10.0</v>
      </c>
      <c r="O80" s="46" t="b">
        <v>0</v>
      </c>
    </row>
    <row r="81">
      <c r="A81" s="46" t="s">
        <v>190</v>
      </c>
      <c r="B81" s="46" t="s">
        <v>191</v>
      </c>
      <c r="C81" s="47">
        <v>0.2</v>
      </c>
      <c r="D81" s="48">
        <v>45954.0</v>
      </c>
      <c r="E81" s="48">
        <v>45957.0</v>
      </c>
      <c r="F81" s="46" t="s">
        <v>192</v>
      </c>
      <c r="G81" s="49">
        <v>0.0</v>
      </c>
      <c r="H81" s="49">
        <v>1.0</v>
      </c>
      <c r="I81" s="49">
        <v>0.5</v>
      </c>
      <c r="J81" s="49">
        <v>0.0</v>
      </c>
      <c r="K81" s="49">
        <v>0.0</v>
      </c>
      <c r="L81" s="49">
        <v>1.0</v>
      </c>
      <c r="M81" s="49">
        <v>0.5</v>
      </c>
      <c r="N81" s="49">
        <v>0.0</v>
      </c>
      <c r="O81" s="46" t="b">
        <v>0</v>
      </c>
    </row>
    <row r="82">
      <c r="A82" s="46" t="s">
        <v>190</v>
      </c>
      <c r="B82" s="46" t="s">
        <v>193</v>
      </c>
      <c r="C82" s="47">
        <v>0.2</v>
      </c>
      <c r="D82" s="48">
        <v>45958.0</v>
      </c>
      <c r="E82" s="48">
        <v>45959.0</v>
      </c>
      <c r="F82" s="46" t="s">
        <v>194</v>
      </c>
      <c r="G82" s="49">
        <v>1.0</v>
      </c>
      <c r="H82" s="49">
        <v>2.0</v>
      </c>
      <c r="I82" s="49">
        <v>0.0</v>
      </c>
      <c r="J82" s="49">
        <v>0.0</v>
      </c>
      <c r="K82" s="49">
        <v>1.0</v>
      </c>
      <c r="L82" s="49">
        <v>2.0</v>
      </c>
      <c r="M82" s="49">
        <v>0.0</v>
      </c>
      <c r="N82" s="49">
        <v>0.0</v>
      </c>
      <c r="O82" s="46" t="b">
        <v>0</v>
      </c>
    </row>
    <row r="83">
      <c r="A83" s="46" t="s">
        <v>190</v>
      </c>
      <c r="B83" s="46" t="s">
        <v>195</v>
      </c>
      <c r="C83" s="47">
        <v>0.2</v>
      </c>
      <c r="D83" s="48">
        <v>45960.0</v>
      </c>
      <c r="E83" s="48">
        <v>45961.0</v>
      </c>
      <c r="F83" s="46" t="s">
        <v>196</v>
      </c>
      <c r="G83" s="49">
        <v>0.0</v>
      </c>
      <c r="H83" s="49">
        <v>2.0</v>
      </c>
      <c r="I83" s="49">
        <v>0.0</v>
      </c>
      <c r="J83" s="49">
        <v>0.0</v>
      </c>
      <c r="K83" s="49">
        <v>0.0</v>
      </c>
      <c r="L83" s="49">
        <v>2.0</v>
      </c>
      <c r="M83" s="49">
        <v>0.0</v>
      </c>
      <c r="N83" s="49">
        <v>0.0</v>
      </c>
      <c r="O83" s="46" t="b">
        <v>0</v>
      </c>
    </row>
    <row r="84">
      <c r="A84" s="46" t="s">
        <v>224</v>
      </c>
      <c r="B84" s="46" t="s">
        <v>198</v>
      </c>
      <c r="C84" s="47">
        <v>0.4</v>
      </c>
      <c r="D84" s="48">
        <v>45964.0</v>
      </c>
      <c r="E84" s="48">
        <v>45966.0</v>
      </c>
      <c r="F84" s="46" t="s">
        <v>199</v>
      </c>
      <c r="G84" s="49">
        <v>2.0</v>
      </c>
      <c r="H84" s="49">
        <v>3.0</v>
      </c>
      <c r="I84" s="49">
        <v>0.0</v>
      </c>
      <c r="J84" s="49">
        <v>0.0</v>
      </c>
      <c r="K84" s="49">
        <v>2.0</v>
      </c>
      <c r="L84" s="49">
        <v>3.0</v>
      </c>
      <c r="M84" s="49">
        <v>0.0</v>
      </c>
      <c r="N84" s="49">
        <v>0.0</v>
      </c>
      <c r="O84" s="46" t="b">
        <v>0</v>
      </c>
    </row>
    <row r="85">
      <c r="A85" s="46" t="s">
        <v>224</v>
      </c>
      <c r="B85" s="46" t="s">
        <v>200</v>
      </c>
      <c r="C85" s="47">
        <v>96.0</v>
      </c>
      <c r="D85" s="48">
        <v>45999.0</v>
      </c>
      <c r="E85" s="48">
        <v>46685.0</v>
      </c>
      <c r="F85" s="46" t="s">
        <v>201</v>
      </c>
      <c r="G85" s="49">
        <v>3.0</v>
      </c>
      <c r="H85" s="49">
        <v>4.0</v>
      </c>
      <c r="I85" s="49">
        <v>1.0</v>
      </c>
      <c r="J85" s="49">
        <v>0.0</v>
      </c>
      <c r="K85" s="49">
        <v>3.0</v>
      </c>
      <c r="L85" s="49">
        <v>4.0</v>
      </c>
      <c r="M85" s="49">
        <v>1.0</v>
      </c>
      <c r="N85" s="49">
        <v>0.0</v>
      </c>
      <c r="O85" s="46" t="b">
        <v>0</v>
      </c>
    </row>
    <row r="86">
      <c r="A86" s="46" t="s">
        <v>224</v>
      </c>
      <c r="B86" s="46" t="s">
        <v>202</v>
      </c>
      <c r="C86" s="47">
        <v>0.2</v>
      </c>
      <c r="D86" s="48">
        <v>46686.0</v>
      </c>
      <c r="E86" s="48">
        <v>46687.0</v>
      </c>
      <c r="F86" s="46" t="s">
        <v>203</v>
      </c>
      <c r="G86" s="49">
        <v>1.0</v>
      </c>
      <c r="H86" s="49">
        <v>2.0</v>
      </c>
      <c r="I86" s="49">
        <v>0.0</v>
      </c>
      <c r="J86" s="49">
        <v>0.0</v>
      </c>
      <c r="K86" s="49">
        <v>1.0</v>
      </c>
      <c r="L86" s="49">
        <v>2.0</v>
      </c>
      <c r="M86" s="49">
        <v>0.0</v>
      </c>
      <c r="N86" s="49">
        <v>0.0</v>
      </c>
      <c r="O86" s="46" t="b">
        <v>0</v>
      </c>
    </row>
    <row r="87">
      <c r="A87" s="45" t="s">
        <v>224</v>
      </c>
      <c r="B87" s="45" t="s">
        <v>204</v>
      </c>
      <c r="C87" s="50">
        <v>0.2</v>
      </c>
      <c r="D87" s="51">
        <v>46688.0</v>
      </c>
      <c r="E87" s="48">
        <v>46689.0</v>
      </c>
      <c r="F87" s="45" t="s">
        <v>205</v>
      </c>
      <c r="G87" s="52">
        <v>3.0</v>
      </c>
      <c r="H87" s="52">
        <v>1.0</v>
      </c>
      <c r="I87" s="52">
        <v>0.0</v>
      </c>
      <c r="J87" s="52">
        <v>0.0</v>
      </c>
      <c r="K87" s="52">
        <v>3.0</v>
      </c>
      <c r="L87" s="52">
        <v>1.0</v>
      </c>
      <c r="M87" s="52">
        <v>0.0</v>
      </c>
      <c r="N87" s="49">
        <v>0.0</v>
      </c>
      <c r="O87" s="45" t="b">
        <v>0</v>
      </c>
    </row>
    <row r="88">
      <c r="A88" s="45" t="s">
        <v>206</v>
      </c>
      <c r="B88" s="45" t="s">
        <v>207</v>
      </c>
      <c r="C88" s="50">
        <v>0.4</v>
      </c>
      <c r="D88" s="51">
        <v>46695.0</v>
      </c>
      <c r="E88" s="48">
        <v>46699.0</v>
      </c>
      <c r="F88" s="45" t="s">
        <v>208</v>
      </c>
      <c r="G88" s="52">
        <v>0.0</v>
      </c>
      <c r="H88" s="52">
        <v>0.0</v>
      </c>
      <c r="I88" s="52">
        <v>0.0</v>
      </c>
      <c r="J88" s="52">
        <v>5.0</v>
      </c>
      <c r="K88" s="52">
        <v>0.0</v>
      </c>
      <c r="L88" s="52">
        <v>0.0</v>
      </c>
      <c r="M88" s="52">
        <v>0.0</v>
      </c>
      <c r="N88" s="49">
        <v>5.0</v>
      </c>
      <c r="O88" s="45" t="b">
        <v>0</v>
      </c>
    </row>
    <row r="89">
      <c r="A89" s="45" t="s">
        <v>206</v>
      </c>
      <c r="B89" s="45" t="s">
        <v>209</v>
      </c>
      <c r="C89" s="50">
        <v>2.0</v>
      </c>
      <c r="D89" s="51">
        <v>46700.0</v>
      </c>
      <c r="E89" s="48">
        <v>46714.0</v>
      </c>
      <c r="F89" s="45" t="s">
        <v>210</v>
      </c>
      <c r="G89" s="52">
        <v>0.0</v>
      </c>
      <c r="H89" s="52">
        <v>0.0</v>
      </c>
      <c r="I89" s="52">
        <v>0.0</v>
      </c>
      <c r="J89" s="52">
        <v>27.0</v>
      </c>
      <c r="K89" s="52">
        <v>0.0</v>
      </c>
      <c r="L89" s="52">
        <v>0.0</v>
      </c>
      <c r="M89" s="52">
        <v>0.0</v>
      </c>
      <c r="N89" s="49">
        <v>27.0</v>
      </c>
      <c r="O89" s="45" t="b">
        <v>0</v>
      </c>
    </row>
    <row r="90">
      <c r="A90" s="45" t="s">
        <v>225</v>
      </c>
      <c r="B90" s="45" t="s">
        <v>212</v>
      </c>
      <c r="C90" s="50">
        <v>0.2</v>
      </c>
      <c r="D90" s="51">
        <v>46715.0</v>
      </c>
      <c r="E90" s="48">
        <v>46716.0</v>
      </c>
      <c r="F90" s="45" t="s">
        <v>213</v>
      </c>
      <c r="G90" s="52">
        <v>0.0</v>
      </c>
      <c r="H90" s="52">
        <v>1.5</v>
      </c>
      <c r="I90" s="52">
        <v>0.5</v>
      </c>
      <c r="J90" s="52">
        <v>0.0</v>
      </c>
      <c r="K90" s="52">
        <v>0.0</v>
      </c>
      <c r="L90" s="52">
        <v>1.5</v>
      </c>
      <c r="M90" s="52">
        <v>0.5</v>
      </c>
      <c r="N90" s="49">
        <v>0.0</v>
      </c>
      <c r="O90" s="45" t="b">
        <v>0</v>
      </c>
    </row>
    <row r="91">
      <c r="A91" s="45" t="s">
        <v>225</v>
      </c>
      <c r="B91" s="45" t="s">
        <v>214</v>
      </c>
      <c r="C91" s="50">
        <v>0.4</v>
      </c>
      <c r="D91" s="51">
        <v>46717.0</v>
      </c>
      <c r="E91" s="48">
        <v>46721.0</v>
      </c>
      <c r="F91" s="45" t="s">
        <v>215</v>
      </c>
      <c r="G91" s="52">
        <v>2.0</v>
      </c>
      <c r="H91" s="52">
        <v>3.0</v>
      </c>
      <c r="I91" s="52">
        <v>0.0</v>
      </c>
      <c r="J91" s="52">
        <v>0.0</v>
      </c>
      <c r="K91" s="52">
        <v>2.0</v>
      </c>
      <c r="L91" s="52">
        <v>3.0</v>
      </c>
      <c r="M91" s="52">
        <v>0.0</v>
      </c>
      <c r="N91" s="49">
        <v>0.0</v>
      </c>
      <c r="O91" s="45" t="b">
        <v>0</v>
      </c>
    </row>
    <row r="92">
      <c r="A92" s="45" t="s">
        <v>225</v>
      </c>
      <c r="B92" s="45" t="s">
        <v>216</v>
      </c>
      <c r="C92" s="50">
        <v>0.2</v>
      </c>
      <c r="D92" s="51">
        <v>46722.0</v>
      </c>
      <c r="E92" s="48">
        <v>46723.0</v>
      </c>
      <c r="F92" s="45" t="s">
        <v>217</v>
      </c>
      <c r="G92" s="52">
        <v>1.5</v>
      </c>
      <c r="H92" s="52">
        <v>1.0</v>
      </c>
      <c r="I92" s="52">
        <v>0.5</v>
      </c>
      <c r="J92" s="52">
        <v>0.0</v>
      </c>
      <c r="K92" s="52">
        <v>1.5</v>
      </c>
      <c r="L92" s="52">
        <v>1.0</v>
      </c>
      <c r="M92" s="52">
        <v>0.5</v>
      </c>
      <c r="N92" s="49">
        <v>0.0</v>
      </c>
      <c r="O92" s="45" t="b">
        <v>0</v>
      </c>
    </row>
    <row r="93">
      <c r="A93" s="45" t="s">
        <v>218</v>
      </c>
      <c r="B93" s="45" t="s">
        <v>219</v>
      </c>
      <c r="C93" s="50">
        <v>0.2</v>
      </c>
      <c r="D93" s="51">
        <v>46724.0</v>
      </c>
      <c r="E93" s="48">
        <v>46727.0</v>
      </c>
      <c r="F93" s="45" t="s">
        <v>220</v>
      </c>
      <c r="G93" s="52">
        <v>0.0</v>
      </c>
      <c r="H93" s="52">
        <v>1.5</v>
      </c>
      <c r="I93" s="52">
        <v>1.5</v>
      </c>
      <c r="J93" s="52">
        <v>0.0</v>
      </c>
      <c r="K93" s="52">
        <v>0.0</v>
      </c>
      <c r="L93" s="52">
        <v>1.5</v>
      </c>
      <c r="M93" s="52">
        <v>1.5</v>
      </c>
      <c r="N93" s="49">
        <v>0.0</v>
      </c>
      <c r="O93" s="45" t="b">
        <v>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53" t="s">
        <v>226</v>
      </c>
      <c r="C3" s="54" t="s">
        <v>227</v>
      </c>
      <c r="D3" s="54" t="s">
        <v>228</v>
      </c>
      <c r="E3" s="55" t="s">
        <v>229</v>
      </c>
      <c r="F3" s="1"/>
      <c r="G3" s="1"/>
      <c r="H3" s="1"/>
      <c r="I3" s="1"/>
      <c r="J3" s="1"/>
      <c r="K3" s="1"/>
      <c r="L3" s="1"/>
      <c r="M3" s="1"/>
      <c r="N3" s="1"/>
      <c r="O3" s="1"/>
      <c r="P3" s="1"/>
      <c r="Q3" s="1"/>
      <c r="R3" s="1"/>
      <c r="S3" s="1"/>
      <c r="T3" s="1"/>
      <c r="U3" s="1"/>
      <c r="V3" s="1"/>
      <c r="W3" s="1"/>
      <c r="X3" s="1"/>
      <c r="Y3" s="1"/>
      <c r="Z3" s="1"/>
    </row>
    <row r="4">
      <c r="A4" s="1"/>
      <c r="B4" s="56" t="str">
        <f t="shared" ref="B4:B14" si="1">C4&amp;". "&amp;D4</f>
        <v>0. Carga en Smart Suite</v>
      </c>
      <c r="C4" s="57">
        <v>0.0</v>
      </c>
      <c r="D4" s="58" t="s">
        <v>230</v>
      </c>
      <c r="E4" s="59" t="s">
        <v>231</v>
      </c>
      <c r="F4" s="1"/>
      <c r="G4" s="1"/>
      <c r="H4" s="1"/>
      <c r="I4" s="1"/>
      <c r="J4" s="1"/>
      <c r="K4" s="1"/>
      <c r="L4" s="1"/>
      <c r="M4" s="1"/>
      <c r="N4" s="1"/>
      <c r="O4" s="1"/>
      <c r="P4" s="1"/>
      <c r="Q4" s="1"/>
      <c r="R4" s="1"/>
      <c r="S4" s="1"/>
      <c r="T4" s="1"/>
      <c r="U4" s="1"/>
      <c r="V4" s="1"/>
      <c r="W4" s="1"/>
      <c r="X4" s="1"/>
      <c r="Y4" s="1"/>
      <c r="Z4" s="1"/>
    </row>
    <row r="5">
      <c r="A5" s="1"/>
      <c r="B5" s="60" t="str">
        <f t="shared" si="1"/>
        <v>1. Seguimiento</v>
      </c>
      <c r="C5" s="61">
        <v>1.0</v>
      </c>
      <c r="D5" s="62" t="s">
        <v>232</v>
      </c>
      <c r="E5" s="63" t="s">
        <v>233</v>
      </c>
      <c r="F5" s="1"/>
      <c r="G5" s="1"/>
      <c r="H5" s="1"/>
      <c r="I5" s="1"/>
      <c r="J5" s="1"/>
      <c r="K5" s="1"/>
      <c r="L5" s="1"/>
      <c r="M5" s="1"/>
      <c r="N5" s="1"/>
      <c r="O5" s="1"/>
      <c r="P5" s="1"/>
      <c r="Q5" s="1"/>
      <c r="R5" s="1"/>
      <c r="S5" s="1"/>
      <c r="T5" s="1"/>
      <c r="U5" s="1"/>
      <c r="V5" s="1"/>
      <c r="W5" s="1"/>
      <c r="X5" s="1"/>
      <c r="Y5" s="1"/>
      <c r="Z5" s="1"/>
    </row>
    <row r="6">
      <c r="A6" s="1"/>
      <c r="B6" s="56" t="str">
        <f t="shared" si="1"/>
        <v>2. EDGE Expert: Diseño Integrado </v>
      </c>
      <c r="C6" s="57">
        <v>2.0</v>
      </c>
      <c r="D6" s="58" t="s">
        <v>234</v>
      </c>
      <c r="E6" s="59" t="s">
        <v>235</v>
      </c>
      <c r="F6" s="1"/>
      <c r="G6" s="1"/>
      <c r="H6" s="1"/>
      <c r="I6" s="1"/>
      <c r="J6" s="1"/>
      <c r="K6" s="1"/>
      <c r="L6" s="1"/>
      <c r="M6" s="1"/>
      <c r="N6" s="1"/>
      <c r="O6" s="1"/>
      <c r="P6" s="1"/>
      <c r="Q6" s="1"/>
      <c r="R6" s="1"/>
      <c r="S6" s="1"/>
      <c r="T6" s="1"/>
      <c r="U6" s="1"/>
      <c r="V6" s="1"/>
      <c r="W6" s="1"/>
      <c r="X6" s="1"/>
      <c r="Y6" s="1"/>
      <c r="Z6" s="1"/>
    </row>
    <row r="7">
      <c r="A7" s="1"/>
      <c r="B7" s="60" t="str">
        <f t="shared" si="1"/>
        <v>3. EDGE Expert: Seguimiento</v>
      </c>
      <c r="C7" s="61">
        <v>3.0</v>
      </c>
      <c r="D7" s="62" t="s">
        <v>236</v>
      </c>
      <c r="E7" s="63" t="s">
        <v>237</v>
      </c>
      <c r="F7" s="1"/>
      <c r="G7" s="1"/>
      <c r="H7" s="1"/>
      <c r="I7" s="1"/>
      <c r="J7" s="1"/>
      <c r="K7" s="1"/>
      <c r="L7" s="1"/>
      <c r="M7" s="1"/>
      <c r="N7" s="1"/>
      <c r="O7" s="1"/>
      <c r="P7" s="1"/>
      <c r="Q7" s="1"/>
      <c r="R7" s="1"/>
      <c r="S7" s="1"/>
      <c r="T7" s="1"/>
      <c r="U7" s="1"/>
      <c r="V7" s="1"/>
      <c r="W7" s="1"/>
      <c r="X7" s="1"/>
      <c r="Y7" s="1"/>
      <c r="Z7" s="1"/>
    </row>
    <row r="8">
      <c r="A8" s="1"/>
      <c r="B8" s="56" t="str">
        <f t="shared" si="1"/>
        <v>4. EDGE Expert: Documentación Diseño</v>
      </c>
      <c r="C8" s="57">
        <v>4.0</v>
      </c>
      <c r="D8" s="58" t="s">
        <v>238</v>
      </c>
      <c r="E8" s="59" t="s">
        <v>239</v>
      </c>
      <c r="F8" s="1"/>
      <c r="G8" s="1"/>
      <c r="H8" s="1"/>
      <c r="I8" s="1"/>
      <c r="J8" s="1"/>
      <c r="K8" s="1"/>
      <c r="L8" s="1"/>
      <c r="M8" s="1"/>
      <c r="N8" s="1"/>
      <c r="O8" s="1"/>
      <c r="P8" s="1"/>
      <c r="Q8" s="1"/>
      <c r="R8" s="1"/>
      <c r="S8" s="1"/>
      <c r="T8" s="1"/>
      <c r="U8" s="1"/>
      <c r="V8" s="1"/>
      <c r="W8" s="1"/>
      <c r="X8" s="1"/>
      <c r="Y8" s="1"/>
      <c r="Z8" s="1"/>
    </row>
    <row r="9">
      <c r="A9" s="1"/>
      <c r="B9" s="60" t="str">
        <f t="shared" si="1"/>
        <v>5. EDGE Auditor Diseño</v>
      </c>
      <c r="C9" s="61">
        <v>5.0</v>
      </c>
      <c r="D9" s="62" t="s">
        <v>240</v>
      </c>
      <c r="E9" s="63" t="s">
        <v>241</v>
      </c>
      <c r="F9" s="1"/>
      <c r="G9" s="1"/>
      <c r="H9" s="1"/>
      <c r="I9" s="1"/>
      <c r="J9" s="1"/>
      <c r="K9" s="1"/>
      <c r="L9" s="1"/>
      <c r="M9" s="1"/>
      <c r="N9" s="1"/>
      <c r="O9" s="1"/>
      <c r="P9" s="1"/>
      <c r="Q9" s="1"/>
      <c r="R9" s="1"/>
      <c r="S9" s="1"/>
      <c r="T9" s="1"/>
      <c r="U9" s="1"/>
      <c r="V9" s="1"/>
      <c r="W9" s="1"/>
      <c r="X9" s="1"/>
      <c r="Y9" s="1"/>
      <c r="Z9" s="1"/>
    </row>
    <row r="10">
      <c r="A10" s="1"/>
      <c r="B10" s="56" t="str">
        <f t="shared" si="1"/>
        <v>6. EDGE Expert: Correcciones Diseño</v>
      </c>
      <c r="C10" s="57">
        <v>6.0</v>
      </c>
      <c r="D10" s="58" t="s">
        <v>242</v>
      </c>
      <c r="E10" s="59" t="s">
        <v>243</v>
      </c>
      <c r="F10" s="1"/>
      <c r="G10" s="1"/>
      <c r="H10" s="1"/>
      <c r="I10" s="1"/>
      <c r="J10" s="1"/>
      <c r="K10" s="1"/>
      <c r="L10" s="1"/>
      <c r="M10" s="1"/>
      <c r="N10" s="1"/>
      <c r="O10" s="1"/>
      <c r="P10" s="1"/>
      <c r="Q10" s="1"/>
      <c r="R10" s="1"/>
      <c r="S10" s="1"/>
      <c r="T10" s="1"/>
      <c r="U10" s="1"/>
      <c r="V10" s="1"/>
      <c r="W10" s="1"/>
      <c r="X10" s="1"/>
      <c r="Y10" s="1"/>
      <c r="Z10" s="1"/>
    </row>
    <row r="11">
      <c r="A11" s="1"/>
      <c r="B11" s="60" t="str">
        <f t="shared" si="1"/>
        <v>7. EDGE Expert: Documentación Construcción </v>
      </c>
      <c r="C11" s="61">
        <v>7.0</v>
      </c>
      <c r="D11" s="62" t="s">
        <v>244</v>
      </c>
      <c r="E11" s="63" t="s">
        <v>245</v>
      </c>
      <c r="F11" s="1"/>
      <c r="G11" s="1"/>
      <c r="H11" s="1"/>
      <c r="I11" s="1"/>
      <c r="J11" s="1"/>
      <c r="K11" s="1"/>
      <c r="L11" s="1"/>
      <c r="M11" s="1"/>
      <c r="N11" s="1"/>
      <c r="O11" s="1"/>
      <c r="P11" s="1"/>
      <c r="Q11" s="1"/>
      <c r="R11" s="1"/>
      <c r="S11" s="1"/>
      <c r="T11" s="1"/>
      <c r="U11" s="1"/>
      <c r="V11" s="1"/>
      <c r="W11" s="1"/>
      <c r="X11" s="1"/>
      <c r="Y11" s="1"/>
      <c r="Z11" s="1"/>
    </row>
    <row r="12">
      <c r="A12" s="1"/>
      <c r="B12" s="56" t="str">
        <f t="shared" si="1"/>
        <v>8. EDGE Auditor Construcción</v>
      </c>
      <c r="C12" s="57">
        <v>8.0</v>
      </c>
      <c r="D12" s="58" t="s">
        <v>246</v>
      </c>
      <c r="E12" s="59" t="s">
        <v>247</v>
      </c>
      <c r="F12" s="1"/>
      <c r="G12" s="1"/>
      <c r="H12" s="1"/>
      <c r="I12" s="1"/>
      <c r="J12" s="1"/>
      <c r="K12" s="1"/>
      <c r="L12" s="1"/>
      <c r="M12" s="1"/>
      <c r="N12" s="1"/>
      <c r="O12" s="1"/>
      <c r="P12" s="1"/>
      <c r="Q12" s="1"/>
      <c r="R12" s="1"/>
      <c r="S12" s="1"/>
      <c r="T12" s="1"/>
      <c r="U12" s="1"/>
      <c r="V12" s="1"/>
      <c r="W12" s="1"/>
      <c r="X12" s="1"/>
      <c r="Y12" s="1"/>
      <c r="Z12" s="1"/>
    </row>
    <row r="13">
      <c r="A13" s="1"/>
      <c r="B13" s="60" t="str">
        <f t="shared" si="1"/>
        <v>9. EDGE Expert: Correcciones Construcción </v>
      </c>
      <c r="C13" s="61">
        <v>9.0</v>
      </c>
      <c r="D13" s="62" t="s">
        <v>248</v>
      </c>
      <c r="E13" s="63" t="s">
        <v>249</v>
      </c>
      <c r="F13" s="1"/>
      <c r="G13" s="1"/>
      <c r="H13" s="1"/>
      <c r="I13" s="1"/>
      <c r="J13" s="1"/>
      <c r="K13" s="1"/>
      <c r="L13" s="1"/>
      <c r="M13" s="1"/>
      <c r="N13" s="1"/>
      <c r="O13" s="1"/>
      <c r="P13" s="1"/>
      <c r="Q13" s="1"/>
      <c r="R13" s="1"/>
      <c r="S13" s="1"/>
      <c r="T13" s="1"/>
      <c r="U13" s="1"/>
      <c r="V13" s="1"/>
      <c r="W13" s="1"/>
      <c r="X13" s="1"/>
      <c r="Y13" s="1"/>
      <c r="Z13" s="1"/>
    </row>
    <row r="14">
      <c r="A14" s="1"/>
      <c r="B14" s="64" t="str">
        <f t="shared" si="1"/>
        <v>10. Cierre de proyecto</v>
      </c>
      <c r="C14" s="65">
        <v>10.0</v>
      </c>
      <c r="D14" s="66" t="s">
        <v>250</v>
      </c>
      <c r="E14" s="67" t="s">
        <v>251</v>
      </c>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sheetData>
  <dataValidations>
    <dataValidation type="custom" allowBlank="1" showDropDown="1" sqref="C4:C14">
      <formula1>AND(ISNUMBER(C4),(NOT(OR(NOT(ISERROR(DATEVALUE(C4))), AND(ISNUMBER(C4), LEFT(CELL("format", C4))="D")))))</formula1>
    </dataValidation>
  </dataValidations>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2026-04-28T22:33:57Z</dcterms:created>
  <dc:creator>openpyxl</dc:creator>
</cp:coreProperties>
</file>